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IF-SF-01" sheetId="2" state="visible" r:id="rId4"/>
    <sheet name="IF-SF-02" sheetId="3" state="visible" r:id="rId5"/>
    <sheet name="IF-ROT-01" sheetId="4" state="visible" r:id="rId6"/>
    <sheet name="IF-ROT-02" sheetId="5" state="visible" r:id="rId7"/>
    <sheet name="IF-ROT-03" sheetId="6" state="visible" r:id="rId8"/>
    <sheet name="QV-01" sheetId="7" state="visible" r:id="rId9"/>
    <sheet name="QV-02" sheetId="8" state="visible" r:id="rId10"/>
    <sheet name="QV-03" sheetId="9" state="visible" r:id="rId11"/>
    <sheet name="QV-04" sheetId="10" state="visible" r:id="rId12"/>
    <sheet name="QV-05" sheetId="11" state="visible" r:id="rId13"/>
    <sheet name="QV-06" sheetId="12" state="visible" r:id="rId14"/>
    <sheet name="QV-07" sheetId="13" state="visible" r:id="rId15"/>
    <sheet name="QV-08" sheetId="14" state="visible" r:id="rId16"/>
    <sheet name="QV-09" sheetId="15" state="visible" r:id="rId17"/>
    <sheet name="QV-10" sheetId="16" state="visible" r:id="rId18"/>
    <sheet name="QV-11" sheetId="17" state="visible" r:id="rId19"/>
    <sheet name="QV-12" sheetId="18" state="visible" r:id="rId20"/>
    <sheet name="QV-13" sheetId="19" state="visible" r:id="rId21"/>
    <sheet name="QV-14" sheetId="20" state="visible" r:id="rId22"/>
    <sheet name="QV-15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<sst xmlns="http://schemas.openxmlformats.org/spreadsheetml/2006/main" count="1287" uniqueCount="484">
  <si>
    <t xml:space="preserve">⚽ QUIZZZ CDM — TABLEUR DE GÉNÉRATION — A5</t>
  </si>
  <si>
    <t xml:space="preserve">20 pools | 277 questions cible | Stock B2 : à compléter</t>
  </si>
  <si>
    <t xml:space="preserve">#</t>
  </si>
  <si>
    <t xml:space="preserve">Pool ID</t>
  </si>
  <si>
    <t xml:space="preserve">Type</t>
  </si>
  <si>
    <t xml:space="preserve">Thème</t>
  </si>
  <si>
    <t xml:space="preserve">Target</t>
  </si>
  <si>
    <t xml:space="preserve">Source ANGIPREGEN</t>
  </si>
  <si>
    <t xml:space="preserve">Exclu</t>
  </si>
  <si>
    <t xml:space="preserve">Notes</t>
  </si>
  <si>
    <t xml:space="preserve">Q PASS</t>
  </si>
  <si>
    <t xml:space="preserve">Q WARNING</t>
  </si>
  <si>
    <t xml:space="preserve">Q FAIL</t>
  </si>
  <si>
    <t xml:space="preserve">Q DRAFT</t>
  </si>
  <si>
    <t xml:space="preserve">% Complet</t>
  </si>
  <si>
    <t xml:space="preserve">IF-SF-01</t>
  </si>
  <si>
    <t xml:space="preserve">IF-SF</t>
  </si>
  <si>
    <t xml:space="preserve">Légendes absolues</t>
  </si>
  <si>
    <t xml:space="preserve">JOU-01 (Pelé) / JOU-02 (Maradona)</t>
  </si>
  <si>
    <t xml:space="preserve">Tous les autres pools</t>
  </si>
  <si>
    <t xml:space="preserve">Pool identitaire fort — angles Pelé et Maradona uniquement</t>
  </si>
  <si>
    <t xml:space="preserve">IF-SF-02</t>
  </si>
  <si>
    <t xml:space="preserve">Finales emblématiques modernes</t>
  </si>
  <si>
    <t xml:space="preserve">MAT-09 (1998) / MAT-14 (2018) / MAT-15 (2022)</t>
  </si>
  <si>
    <t xml:space="preserve">Ne pas dupliquer Zidane (→ QV-01) ni Mbappé (→ QV-01 + IF-ROT-02)</t>
  </si>
  <si>
    <t xml:space="preserve">IF-ROT-01</t>
  </si>
  <si>
    <t xml:space="preserve">IF-ROT</t>
  </si>
  <si>
    <t xml:space="preserve">Grandes nations championnes</t>
  </si>
  <si>
    <t xml:space="preserve">FIN-01 (All.) / FIN-02 (Brés.) / FIN-03 (Ita.) / FIN-04 (Arg.) / FIN-05 (Fra.)</t>
  </si>
  <si>
    <t xml:space="preserve">QV-09</t>
  </si>
  <si>
    <t xml:space="preserve">Focus palmarès, titres, années. Autres finalistes → QV-09</t>
  </si>
  <si>
    <t xml:space="preserve">IF-ROT-02</t>
  </si>
  <si>
    <t xml:space="preserve">Records buteurs all-time (top 5)</t>
  </si>
  <si>
    <t xml:space="preserve">BUT-01 (Klose 16) / BUT-02 (Ronaldo 15) / BUT-05 (Messi 13) / BUT-06 (Pelé 12) / BUT-07 (Mbappé 12)</t>
  </si>
  <si>
    <t xml:space="preserve">QV-13</t>
  </si>
  <si>
    <t xml:space="preserve">Rangs 6-10 → QV-13. Ne pas dupliquer angles Pelé (IF-SF-01)</t>
  </si>
  <si>
    <t xml:space="preserve">IF-ROT-03</t>
  </si>
  <si>
    <t xml:space="preserve">Anecdotes célèbres N1</t>
  </si>
  <si>
    <t xml:space="preserve">ANE-09 (Schumacher) / ANE-10 (Main de Dieu) / ANE-11 (Baggio) / ANE-13 (Zidane) / ANE-14 (Paul Poulpe)</t>
  </si>
  <si>
    <t xml:space="preserve">QV-11</t>
  </si>
  <si>
    <t xml:space="preserve">ANE-10 → orienter sur anecdote (MAT-07 oriente sur match)</t>
  </si>
  <si>
    <t xml:space="preserve">QV-01</t>
  </si>
  <si>
    <t xml:space="preserve">QV</t>
  </si>
  <si>
    <t xml:space="preserve">Joueurs N1 complémentaires</t>
  </si>
  <si>
    <t xml:space="preserve">JOU-03 (Messi) / JOU-04 (CR7) / JOU-06 (Zidane) / JOU-08 (Ronaldo) / JOU-19 (Mbappé)</t>
  </si>
  <si>
    <t xml:space="preserve">IF-SF-01 / IF-SF-02</t>
  </si>
  <si>
    <t xml:space="preserve">Hors Pelé et Maradona. Angle Zidane buts → réservé IF-SF-02</t>
  </si>
  <si>
    <t xml:space="preserve">QV-02</t>
  </si>
  <si>
    <t xml:space="preserve">Joueurs N2 — les grands noms</t>
  </si>
  <si>
    <t xml:space="preserve">JOU-05/07/09/11/17/18/20 (Cruyff, Beckenbauer, Platini, Klose, Matthäus, Neuer, Modrić)</t>
  </si>
  <si>
    <t xml:space="preserve">QV-12</t>
  </si>
  <si>
    <t xml:space="preserve">24 angles disponibles → 15 retenus</t>
  </si>
  <si>
    <t xml:space="preserve">QV-03</t>
  </si>
  <si>
    <t xml:space="preserve">Dynasties équipes mythiques</t>
  </si>
  <si>
    <t xml:space="preserve">Éditorial — Brésil 1970 / All. 1974 / France 1998 / Espagne 2010 / All. 2014</t>
  </si>
  <si>
    <t xml:space="preserve">IF-SF-01 / IF-SF-02 / QV-01 / QV-04 / QV-05</t>
  </si>
  <si>
    <t xml:space="preserve">⚠️ À VALIDER : liste des dynasties. Focus équipe/époque, pas joueur individuel</t>
  </si>
  <si>
    <t xml:space="preserve">QV-04</t>
  </si>
  <si>
    <t xml:space="preserve">Finales et matchs 1930-1978</t>
  </si>
  <si>
    <t xml:space="preserve">MAT-01 (1950) / MAT-02 (1966) / MAT-03 (1970) / MAT-04 (1974) / MAT-05 (1978)</t>
  </si>
  <si>
    <t xml:space="preserve">IF-SF-02 / QV-05</t>
  </si>
  <si>
    <t xml:space="preserve">Football total NL 1974 → ne pas dupliquer avec QV-09</t>
  </si>
  <si>
    <t xml:space="preserve">QV-05</t>
  </si>
  <si>
    <t xml:space="preserve">Matchs marquants 1982-2014</t>
  </si>
  <si>
    <t xml:space="preserve">MAT-06/07/08/10/11/12/13 (Séville, Main de Dieu, 1994, 2002, 2006, 2010, 7-1)</t>
  </si>
  <si>
    <t xml:space="preserve">IF-SF-02 / QV-04</t>
  </si>
  <si>
    <t xml:space="preserve">MAT-07 ≠ ANE-10 : angles distincts mais contexte commun</t>
  </si>
  <si>
    <t xml:space="preserve">QV-06</t>
  </si>
  <si>
    <t xml:space="preserve">Stades mythiques CDM</t>
  </si>
  <si>
    <t xml:space="preserve">STA-01 (Maracanã) / STA-02 (Azteca) / STA-03 (Wembley) / STA-04 à 07</t>
  </si>
  <si>
    <t xml:space="preserve">—</t>
  </si>
  <si>
    <t xml:space="preserve">15 angles disponibles → 15 ✓. Affluence Maracanã → réservé QV-08</t>
  </si>
  <si>
    <t xml:space="preserve">QV-07</t>
  </si>
  <si>
    <t xml:space="preserve">Buteurs par édition (Soulier d'Or)</t>
  </si>
  <si>
    <t xml:space="preserve">BUE-01 (Fontaine 1958) / BUE-02 (Kocsis 1954) / BUE-03 à 10</t>
  </si>
  <si>
    <t xml:space="preserve">IF-ROT-02 / QV-13</t>
  </si>
  <si>
    <t xml:space="preserve">BUE-09 Mbappé → vérifier non-collision MAT-15 (IF-SF-02) et BUT-07 (IF-ROT-02)</t>
  </si>
  <si>
    <t xml:space="preserve">QV-08</t>
  </si>
  <si>
    <t xml:space="preserve">Records CDM collectifs</t>
  </si>
  <si>
    <t xml:space="preserve">REC-03 à 09 (âgé/jeune joueur, large victoire, buts, finale, affluence, but rapide)</t>
  </si>
  <si>
    <t xml:space="preserve">REC-09 Şükür 11s = angle le plus jouable — prioriser</t>
  </si>
  <si>
    <t xml:space="preserve">Finalistes hors grandes nations</t>
  </si>
  <si>
    <t xml:space="preserve">FIN-06 (NL) / FIN-07 (Uru) / FIN-08 (Hon) / FIN-09 (Tch.) / FIN-10 (Ang.)</t>
  </si>
  <si>
    <t xml:space="preserve">NL 4 angles (seule grande nation sans titre). Football total 1974 → vérifier QV-04</t>
  </si>
  <si>
    <t xml:space="preserve">QV-10</t>
  </si>
  <si>
    <t xml:space="preserve">Participations des nations</t>
  </si>
  <si>
    <t xml:space="preserve">PAR-01 à 15 (Brésil 22, All. 20, Italie 18, Argentine 18...)</t>
  </si>
  <si>
    <t xml:space="preserve">IF-ROT-01 / QV-09</t>
  </si>
  <si>
    <t xml:space="preserve">PAR-01 Brésil présent à toutes les éditions = angle fort. Focus rang/nombre, pas palmarès</t>
  </si>
  <si>
    <t xml:space="preserve">Anecdotes N2/N3</t>
  </si>
  <si>
    <t xml:space="preserve">ANE-01 à 08 / ANE-12 / ANE-15 (discours 1950, Pelé 17 ans, trophée volé, but fantôme...)</t>
  </si>
  <si>
    <t xml:space="preserve">ANE-02 Pelé 17 ans → non-collision IF-SF-01. ANE-15 → orienter sur 'humiliation' pas score</t>
  </si>
  <si>
    <t xml:space="preserve">Joueurs N3 et légendes historiques</t>
  </si>
  <si>
    <t xml:space="preserve">JOU-10 (Di Stéfano) / JOU-12 (Fontaine) / JOU-13/14/15/16 (Rossi, G.Müller, Garrincha, Charlton)</t>
  </si>
  <si>
    <t xml:space="preserve">QV-02 / QV-13</t>
  </si>
  <si>
    <t xml:space="preserve">Fontaine retiré. Rossi +1 angle éditorial → 15 questions. Gerd Müller → vérifier angles vs BUE-03/BUT-03.</t>
  </si>
  <si>
    <t xml:space="preserve">Buteurs all-time rangs 3-10 + records indiv.</t>
  </si>
  <si>
    <t xml:space="preserve">BUT-03/04/08/09/10 (Müller 14, Fontaine 13, Kocsis 11, Klinsmann 11, Rahn 10) + REC-01/02</t>
  </si>
  <si>
    <t xml:space="preserve">IF-ROT-02 / QV-07</t>
  </si>
  <si>
    <t xml:space="preserve">REC-01 Matthäus 25 matchs → distinct de JOU-17 (QV-02). REC-02 Klose 17 victoires → distinct BUT-01</t>
  </si>
  <si>
    <t xml:space="preserve">QV-14</t>
  </si>
  <si>
    <t xml:space="preserve">Pays hôtes et éditions CDM</t>
  </si>
  <si>
    <t xml:space="preserve">Éditorial — organisateurs, formats, règles, années</t>
  </si>
  <si>
    <t xml:space="preserve">IF-SF-01 / IF-SF-02 / QV-04 / QV-05</t>
  </si>
  <si>
    <t xml:space="preserve">⚠️ À VALIDER : périmètre éditorial. Éviter résultats de matchs ou joueurs</t>
  </si>
  <si>
    <t xml:space="preserve">QV-15</t>
  </si>
  <si>
    <t xml:space="preserve">Curiosités et petite histoire CDM</t>
  </si>
  <si>
    <t xml:space="preserve">Éditorial — trophée, mascottes, ballons, hymnes, records insolites</t>
  </si>
  <si>
    <t xml:space="preserve">Tous pools ANGIPREGEN directs</t>
  </si>
  <si>
    <t xml:space="preserve">⚠️ À VALIDER : périmètre éditorial. Viser accessibilité N1/N2</t>
  </si>
  <si>
    <t xml:space="preserve">CDM-POOL-IF-SF-01 — LÉGENDES ABSOLUES (IF-SF) — TARGET : 8 questions</t>
  </si>
  <si>
    <t xml:space="preserve">SOURCE : JOU-01 (Pelé) / JOU-02 (Maradona)</t>
  </si>
  <si>
    <t xml:space="preserve">EXCLUS : Tous les autres pools  |  NOTES : Pool identitaire fort — angles Pelé et Maradona uniquement</t>
  </si>
  <si>
    <t xml:space="preserve">ID_Q</t>
  </si>
  <si>
    <t xml:space="preserve">Pool</t>
  </si>
  <si>
    <t xml:space="preserve">Angle_ID</t>
  </si>
  <si>
    <t xml:space="preserve">Niveau</t>
  </si>
  <si>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</si>
  <si>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</si>
  <si>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</si>
  <si>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</si>
  <si>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</si>
  <si>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Bonne_Rep</t>
  </si>
  <si>
    <t xml:space="preserve">Tags</t>
  </si>
  <si>
    <t xml:space="preserve">QA_STATUS</t>
  </si>
  <si>
    <t xml:space="preserve">CDM-IFSF01-Q001</t>
  </si>
  <si>
    <t xml:space="preserve">CDM-POOL-IF-SF-01</t>
  </si>
  <si>
    <t xml:space="preserve">DRAFT</t>
  </si>
  <si>
    <t xml:space="preserve">CDM-IFSF01-Q002</t>
  </si>
  <si>
    <t xml:space="preserve">CDM-IFSF01-Q003</t>
  </si>
  <si>
    <t xml:space="preserve">CDM-IFSF01-Q004</t>
  </si>
  <si>
    <t xml:space="preserve">CDM-IFSF01-Q005</t>
  </si>
  <si>
    <t xml:space="preserve">CDM-IFSF01-Q006</t>
  </si>
  <si>
    <t xml:space="preserve">CDM-IFSF01-Q007</t>
  </si>
  <si>
    <t xml:space="preserve">CDM-IFSF01-Q008</t>
  </si>
  <si>
    <t xml:space="preserve">TOTAL — 8 questions cibles</t>
  </si>
  <si>
    <t xml:space="preserve">CDM-POOL-IF-SF-02 — FINALES EMBLÉMATIQUES MODERNES (IF-SF) — TARGET : 8 questions</t>
  </si>
  <si>
    <t xml:space="preserve">SOURCE : MAT-09 (1998) / MAT-14 (2018) / MAT-15 (2022)</t>
  </si>
  <si>
    <t xml:space="preserve">EXCLUS : Tous les autres pools  |  ⚠️ COLLISION_WATCH MBAPPÉ : angles de ce pool (MAT-15 finale 2022) ≠ IF-ROT-02 (BUT-07 buts all-time) ≠ QV-01 (JOU-19 joueur) ≠ QV-07 (BUE-09 hat-trick). Vérifier non-duplication à la génération B2.</t>
  </si>
  <si>
    <t xml:space="preserve">CDM-IFSF02-Q001</t>
  </si>
  <si>
    <t xml:space="preserve">CDM-POOL-IF-SF-02</t>
  </si>
  <si>
    <t xml:space="preserve">CDM-IFSF02-Q002</t>
  </si>
  <si>
    <t xml:space="preserve">CDM-IFSF02-Q003</t>
  </si>
  <si>
    <t xml:space="preserve">CDM-IFSF02-Q004</t>
  </si>
  <si>
    <t xml:space="preserve">CDM-IFSF02-Q005</t>
  </si>
  <si>
    <t xml:space="preserve">CDM-IFSF02-Q006</t>
  </si>
  <si>
    <t xml:space="preserve">CDM-IFSF02-Q007</t>
  </si>
  <si>
    <t xml:space="preserve">CDM-IFSF02-Q008</t>
  </si>
  <si>
    <t xml:space="preserve">CDM-POOL-IF-ROT-01 — GRANDES NATIONS CHAMPIONNES (IF-ROT) — TARGET : 12 questions</t>
  </si>
  <si>
    <t xml:space="preserve">SOURCE : FIN-01 (All.) / FIN-02 (Brés.) / FIN-03 (Ita.) / FIN-04 (Arg.) / FIN-05 (Fra.)</t>
  </si>
  <si>
    <t xml:space="preserve">EXCLUS : QV-09  |  NOTES : Focus palmarès, titres, années. Autres finalistes → QV-09</t>
  </si>
  <si>
    <t xml:space="preserve">CDM-IFROT01-Q001</t>
  </si>
  <si>
    <t xml:space="preserve">CDM-POOL-IF-ROT-01</t>
  </si>
  <si>
    <t xml:space="preserve">CDM-IFROT01-Q002</t>
  </si>
  <si>
    <t xml:space="preserve">CDM-IFROT01-Q003</t>
  </si>
  <si>
    <t xml:space="preserve">CDM-IFROT01-Q004</t>
  </si>
  <si>
    <t xml:space="preserve">CDM-IFROT01-Q005</t>
  </si>
  <si>
    <t xml:space="preserve">CDM-IFROT01-Q006</t>
  </si>
  <si>
    <t xml:space="preserve">CDM-IFROT01-Q007</t>
  </si>
  <si>
    <t xml:space="preserve">CDM-IFROT01-Q008</t>
  </si>
  <si>
    <t xml:space="preserve">CDM-IFROT01-Q009</t>
  </si>
  <si>
    <t xml:space="preserve">CDM-IFROT01-Q010</t>
  </si>
  <si>
    <t xml:space="preserve">CDM-IFROT01-Q011</t>
  </si>
  <si>
    <t xml:space="preserve">CDM-IFROT01-Q012</t>
  </si>
  <si>
    <t xml:space="preserve">TOTAL — 12 questions cibles</t>
  </si>
  <si>
    <t xml:space="preserve">CDM-POOL-IF-ROT-02 — RECORDS BUTEURS ALL-TIME (TOP 5) (IF-ROT) — TARGET : 12 questions</t>
  </si>
  <si>
    <t xml:space="preserve">SOURCE : BUT-01 (Klose 16) / BUT-02 (Ronaldo 15) / BUT-05 (Messi 13) / BUT-06 (Pelé 12) / BUT-07 (Mbappé 12)</t>
  </si>
  <si>
    <t xml:space="preserve">EXCLUS : QV-13  |  ⚠️ COLLISION_WATCH MBAPPÉ : angles de ce pool (BUT-07 : 12 buts all-time, rang) ≠ IF-SF-02 (MAT-15 finale) ≠ QV-01 (JOU-19 joueur) ≠ QV-07 (BUE-09 hat-trick 2022). Ne pas dupliquer Pelé (→ IF-SF-01).</t>
  </si>
  <si>
    <t xml:space="preserve">CDM-IFROT02-Q001</t>
  </si>
  <si>
    <t xml:space="preserve">CDM-POOL-IF-ROT-02</t>
  </si>
  <si>
    <t xml:space="preserve">CDM-IFROT02-Q002</t>
  </si>
  <si>
    <t xml:space="preserve">CDM-IFROT02-Q003</t>
  </si>
  <si>
    <t xml:space="preserve">CDM-IFROT02-Q004</t>
  </si>
  <si>
    <t xml:space="preserve">CDM-IFROT02-Q005</t>
  </si>
  <si>
    <t xml:space="preserve">CDM-IFROT02-Q006</t>
  </si>
  <si>
    <t xml:space="preserve">CDM-IFROT02-Q007</t>
  </si>
  <si>
    <t xml:space="preserve">CDM-IFROT02-Q008</t>
  </si>
  <si>
    <t xml:space="preserve">CDM-IFROT02-Q009</t>
  </si>
  <si>
    <t xml:space="preserve">CDM-IFROT02-Q010</t>
  </si>
  <si>
    <t xml:space="preserve">CDM-IFROT02-Q011</t>
  </si>
  <si>
    <t xml:space="preserve">CDM-IFROT02-Q012</t>
  </si>
  <si>
    <t xml:space="preserve">CDM-POOL-IF-ROT-03 — ANECDOTES CÉLÈBRES N1 (IF-ROT) — TARGET : 12 questions</t>
  </si>
  <si>
    <t xml:space="preserve">SOURCE : ANE-09 (Schumacher) / ANE-10 (Main de Dieu) / ANE-11 (Baggio) / ANE-13 (Zidane) / ANE-14 (Paul Poulpe)</t>
  </si>
  <si>
    <t xml:space="preserve">EXCLUS : QV-11  |  NOTES : ANE-10 → orienter sur anecdote (MAT-07 oriente sur match)</t>
  </si>
  <si>
    <t xml:space="preserve">CDM-IFROT03-Q001</t>
  </si>
  <si>
    <t xml:space="preserve">CDM-POOL-IF-ROT-03</t>
  </si>
  <si>
    <t xml:space="preserve">CDM-IFROT03-Q002</t>
  </si>
  <si>
    <t xml:space="preserve">CDM-IFROT03-Q003</t>
  </si>
  <si>
    <t xml:space="preserve">CDM-IFROT03-Q004</t>
  </si>
  <si>
    <t xml:space="preserve">CDM-IFROT03-Q005</t>
  </si>
  <si>
    <t xml:space="preserve">CDM-IFROT03-Q006</t>
  </si>
  <si>
    <t xml:space="preserve">CDM-IFROT03-Q007</t>
  </si>
  <si>
    <t xml:space="preserve">CDM-IFROT03-Q008</t>
  </si>
  <si>
    <t xml:space="preserve">CDM-IFROT03-Q009</t>
  </si>
  <si>
    <t xml:space="preserve">CDM-IFROT03-Q010</t>
  </si>
  <si>
    <t xml:space="preserve">CDM-IFROT03-Q011</t>
  </si>
  <si>
    <t xml:space="preserve">CDM-IFROT03-Q012</t>
  </si>
  <si>
    <t xml:space="preserve">CDM-POOL-QV-01 — JOUEURS N1 COMPLÉMENTAIRES (QV) — TARGET : 15 questions</t>
  </si>
  <si>
    <t xml:space="preserve">SOURCE : JOU-03 (Messi) / JOU-04 (CR7) / JOU-06 (Zidane) / JOU-08 (Ronaldo) / JOU-19 (Mbappé)</t>
  </si>
  <si>
    <t xml:space="preserve">EXCLUS : IF-SF-01 / IF-SF-02  |  ⚠️ COLLISION_WATCH MBAPPÉ : angles de ce pool (JOU-19 : participations, nationalité, surnom) ≠ IF-SF-02 (MAT-15 finale) ≠ IF-ROT-02 (BUT-07 buts all-time) ≠ QV-07 (BUE-09 hat-trick). Zidane buts finale 1998 → réservé IF-SF-02.</t>
  </si>
  <si>
    <t xml:space="preserve">CDM-QV01-Q001</t>
  </si>
  <si>
    <t xml:space="preserve">CDM-POOL-QV-01</t>
  </si>
  <si>
    <t xml:space="preserve">CDM-QV01-Q002</t>
  </si>
  <si>
    <t xml:space="preserve">CDM-QV01-Q003</t>
  </si>
  <si>
    <t xml:space="preserve">CDM-QV01-Q004</t>
  </si>
  <si>
    <t xml:space="preserve">CDM-QV01-Q005</t>
  </si>
  <si>
    <t xml:space="preserve">CDM-QV01-Q006</t>
  </si>
  <si>
    <t xml:space="preserve">CDM-QV01-Q007</t>
  </si>
  <si>
    <t xml:space="preserve">CDM-QV01-Q008</t>
  </si>
  <si>
    <t xml:space="preserve">CDM-QV01-Q009</t>
  </si>
  <si>
    <t xml:space="preserve">CDM-QV01-Q010</t>
  </si>
  <si>
    <t xml:space="preserve">CDM-QV01-Q011</t>
  </si>
  <si>
    <t xml:space="preserve">CDM-QV01-Q012</t>
  </si>
  <si>
    <t xml:space="preserve">CDM-QV01-Q013</t>
  </si>
  <si>
    <t xml:space="preserve">CDM-QV01-Q014</t>
  </si>
  <si>
    <t xml:space="preserve">CDM-QV01-Q015</t>
  </si>
  <si>
    <t xml:space="preserve">TOTAL — 15 questions cibles</t>
  </si>
  <si>
    <t xml:space="preserve">CDM-POOL-QV-02 — JOUEURS N2 — LES GRANDS NOMS (QV) — TARGET : 15 questions</t>
  </si>
  <si>
    <t xml:space="preserve">SOURCE : JOU-05/07/09/11/17/18/20 (Cruyff, Beckenbauer, Platini, Klose, Matthäus, Neuer, Modrić)</t>
  </si>
  <si>
    <t xml:space="preserve">EXCLUS : QV-12  |  NOTES : 24 angles disponibles → 15 retenus</t>
  </si>
  <si>
    <t xml:space="preserve">CDM-QV02-Q001</t>
  </si>
  <si>
    <t xml:space="preserve">CDM-POOL-QV-02</t>
  </si>
  <si>
    <t xml:space="preserve">CDM-QV02-Q002</t>
  </si>
  <si>
    <t xml:space="preserve">CDM-QV02-Q003</t>
  </si>
  <si>
    <t xml:space="preserve">CDM-QV02-Q004</t>
  </si>
  <si>
    <t xml:space="preserve">CDM-QV02-Q005</t>
  </si>
  <si>
    <t xml:space="preserve">CDM-QV02-Q006</t>
  </si>
  <si>
    <t xml:space="preserve">CDM-QV02-Q007</t>
  </si>
  <si>
    <t xml:space="preserve">CDM-QV02-Q008</t>
  </si>
  <si>
    <t xml:space="preserve">CDM-QV02-Q009</t>
  </si>
  <si>
    <t xml:space="preserve">CDM-QV02-Q010</t>
  </si>
  <si>
    <t xml:space="preserve">CDM-QV02-Q011</t>
  </si>
  <si>
    <t xml:space="preserve">CDM-QV02-Q012</t>
  </si>
  <si>
    <t xml:space="preserve">CDM-QV02-Q013</t>
  </si>
  <si>
    <t xml:space="preserve">CDM-QV02-Q014</t>
  </si>
  <si>
    <t xml:space="preserve">CDM-QV02-Q015</t>
  </si>
  <si>
    <t xml:space="preserve">CDM-POOL-QV-03 — DYNASTIES ÉQUIPES MYTHIQUES (QV) — TARGET : 15 questions</t>
  </si>
  <si>
    <t xml:space="preserve">SOURCE : Éditorial — Brésil 1970 / All. 1974 / Arg. 1986 / France 1998 / Espagne 2010 / All. 2014</t>
  </si>
  <si>
    <t xml:space="preserve">EXCLUS : IF-SF-01 / IF-SF-02 / QV-01 / QV-04 / QV-05  |  NOTES : 6 dynasties validées ✅ (13/05/2026) : Brésil 1970 / All. 1974 / Arg. 1986 / France 1998 / Espagne 2010 / All. 2014. Éviter joueurs individuels (→ pools JOU) et matchs assignés (→ QV-04/QV-05).</t>
  </si>
  <si>
    <t xml:space="preserve">CDM-QV03-Q001</t>
  </si>
  <si>
    <t xml:space="preserve">CDM-POOL-QV-03</t>
  </si>
  <si>
    <t xml:space="preserve">CDM-QV03-Q002</t>
  </si>
  <si>
    <t xml:space="preserve">CDM-QV03-Q003</t>
  </si>
  <si>
    <t xml:space="preserve">CDM-QV03-Q004</t>
  </si>
  <si>
    <t xml:space="preserve">CDM-QV03-Q005</t>
  </si>
  <si>
    <t xml:space="preserve">CDM-QV03-Q006</t>
  </si>
  <si>
    <t xml:space="preserve">CDM-QV03-Q007</t>
  </si>
  <si>
    <t xml:space="preserve">CDM-QV03-Q008</t>
  </si>
  <si>
    <t xml:space="preserve">CDM-QV03-Q009</t>
  </si>
  <si>
    <t xml:space="preserve">CDM-QV03-Q010</t>
  </si>
  <si>
    <t xml:space="preserve">CDM-QV03-Q011</t>
  </si>
  <si>
    <t xml:space="preserve">CDM-QV03-Q012</t>
  </si>
  <si>
    <t xml:space="preserve">CDM-QV03-Q013</t>
  </si>
  <si>
    <t xml:space="preserve">CDM-QV03-Q014</t>
  </si>
  <si>
    <t xml:space="preserve">CDM-QV03-Q015</t>
  </si>
  <si>
    <t xml:space="preserve">CDM-POOL-QV-04 — FINALES ET MATCHS 1930-1978 (QV) — TARGET : 15 questions</t>
  </si>
  <si>
    <t xml:space="preserve">SOURCE : MAT-01 (1950) / MAT-02 (1966) / MAT-03 (1970) / MAT-04 (1974) / MAT-05 (1978)</t>
  </si>
  <si>
    <t xml:space="preserve">EXCLUS : IF-SF-02 / QV-05  |  NOTES : Football total NL 1974 → ne pas dupliquer avec QV-09</t>
  </si>
  <si>
    <t xml:space="preserve">CDM-QV04-Q001</t>
  </si>
  <si>
    <t xml:space="preserve">CDM-POOL-QV-04</t>
  </si>
  <si>
    <t xml:space="preserve">CDM-QV04-Q002</t>
  </si>
  <si>
    <t xml:space="preserve">CDM-QV04-Q003</t>
  </si>
  <si>
    <t xml:space="preserve">CDM-QV04-Q004</t>
  </si>
  <si>
    <t xml:space="preserve">CDM-QV04-Q005</t>
  </si>
  <si>
    <t xml:space="preserve">CDM-QV04-Q006</t>
  </si>
  <si>
    <t xml:space="preserve">CDM-QV04-Q007</t>
  </si>
  <si>
    <t xml:space="preserve">CDM-QV04-Q008</t>
  </si>
  <si>
    <t xml:space="preserve">CDM-QV04-Q009</t>
  </si>
  <si>
    <t xml:space="preserve">CDM-QV04-Q010</t>
  </si>
  <si>
    <t xml:space="preserve">CDM-QV04-Q011</t>
  </si>
  <si>
    <t xml:space="preserve">CDM-QV04-Q012</t>
  </si>
  <si>
    <t xml:space="preserve">CDM-QV04-Q013</t>
  </si>
  <si>
    <t xml:space="preserve">CDM-QV04-Q014</t>
  </si>
  <si>
    <t xml:space="preserve">CDM-QV04-Q015</t>
  </si>
  <si>
    <t xml:space="preserve">CDM-POOL-QV-05 — MATCHS MARQUANTS 1982-2014 (QV) — TARGET : 15 questions</t>
  </si>
  <si>
    <t xml:space="preserve">SOURCE : MAT-06/07/08/10/11/12/13 (Séville, Main de Dieu, 1994, 2002, 2006, 2010, 7-1)</t>
  </si>
  <si>
    <t xml:space="preserve">EXCLUS : IF-SF-02 / QV-04  |  NOTES : MAT-07 ≠ ANE-10 : angles distincts mais contexte commun</t>
  </si>
  <si>
    <t xml:space="preserve">CDM-QV05-Q001</t>
  </si>
  <si>
    <t xml:space="preserve">CDM-POOL-QV-05</t>
  </si>
  <si>
    <t xml:space="preserve">CDM-QV05-Q002</t>
  </si>
  <si>
    <t xml:space="preserve">CDM-QV05-Q003</t>
  </si>
  <si>
    <t xml:space="preserve">CDM-QV05-Q004</t>
  </si>
  <si>
    <t xml:space="preserve">CDM-QV05-Q005</t>
  </si>
  <si>
    <t xml:space="preserve">CDM-QV05-Q006</t>
  </si>
  <si>
    <t xml:space="preserve">CDM-QV05-Q007</t>
  </si>
  <si>
    <t xml:space="preserve">CDM-QV05-Q008</t>
  </si>
  <si>
    <t xml:space="preserve">CDM-QV05-Q009</t>
  </si>
  <si>
    <t xml:space="preserve">CDM-QV05-Q010</t>
  </si>
  <si>
    <t xml:space="preserve">CDM-QV05-Q011</t>
  </si>
  <si>
    <t xml:space="preserve">CDM-QV05-Q012</t>
  </si>
  <si>
    <t xml:space="preserve">CDM-QV05-Q013</t>
  </si>
  <si>
    <t xml:space="preserve">CDM-QV05-Q014</t>
  </si>
  <si>
    <t xml:space="preserve">CDM-QV05-Q015</t>
  </si>
  <si>
    <t xml:space="preserve">CDM-POOL-QV-06 — STADES MYTHIQUES CDM (QV) — TARGET : 15 questions</t>
  </si>
  <si>
    <t xml:space="preserve">SOURCE : STA-01 (Maracanã) / STA-02 (Azteca) / STA-03 (Wembley) / STA-04 à 07</t>
  </si>
  <si>
    <t xml:space="preserve">EXCLUS : —  |  NOTES : 15 angles disponibles → 15 ✓. Affluence Maracanã → réservé QV-08</t>
  </si>
  <si>
    <t xml:space="preserve">CDM-QV06-Q001</t>
  </si>
  <si>
    <t xml:space="preserve">CDM-POOL-QV-06</t>
  </si>
  <si>
    <t xml:space="preserve">CDM-QV06-Q002</t>
  </si>
  <si>
    <t xml:space="preserve">CDM-QV06-Q003</t>
  </si>
  <si>
    <t xml:space="preserve">CDM-QV06-Q004</t>
  </si>
  <si>
    <t xml:space="preserve">CDM-QV06-Q005</t>
  </si>
  <si>
    <t xml:space="preserve">CDM-QV06-Q006</t>
  </si>
  <si>
    <t xml:space="preserve">CDM-QV06-Q007</t>
  </si>
  <si>
    <t xml:space="preserve">CDM-QV06-Q008</t>
  </si>
  <si>
    <t xml:space="preserve">CDM-QV06-Q009</t>
  </si>
  <si>
    <t xml:space="preserve">CDM-QV06-Q010</t>
  </si>
  <si>
    <t xml:space="preserve">CDM-QV06-Q011</t>
  </si>
  <si>
    <t xml:space="preserve">CDM-QV06-Q012</t>
  </si>
  <si>
    <t xml:space="preserve">CDM-QV06-Q013</t>
  </si>
  <si>
    <t xml:space="preserve">CDM-QV06-Q014</t>
  </si>
  <si>
    <t xml:space="preserve">CDM-QV06-Q015</t>
  </si>
  <si>
    <t xml:space="preserve">CDM-POOL-QV-07 — BUTEURS PAR ÉDITION (SOULIER D'OR) (QV) — TARGET : 15 questions</t>
  </si>
  <si>
    <t xml:space="preserve">SOURCE : BUE-01 (Fontaine 1958) / BUE-02 (Kocsis 1954) / BUE-03 à 10</t>
  </si>
  <si>
    <t xml:space="preserve">EXCLUS : IF-ROT-02 / QV-13  |  ⚠️ COLLISION_WATCH MBAPPÉ : angles de ce pool (BUE-09 : hat-trick finale 2022, Soulier d'Or) ≠ IF-SF-02 (MAT-15 contexte finale) ≠ IF-ROT-02 (BUT-07 rang all-time) ≠ QV-01 (JOU-19 joueur). Vérifier non-collision MAT-15.</t>
  </si>
  <si>
    <t xml:space="preserve">CDM-QV07-Q001</t>
  </si>
  <si>
    <t xml:space="preserve">CDM-POOL-QV-07</t>
  </si>
  <si>
    <t xml:space="preserve">CDM-QV07-Q002</t>
  </si>
  <si>
    <t xml:space="preserve">CDM-QV07-Q003</t>
  </si>
  <si>
    <t xml:space="preserve">CDM-QV07-Q004</t>
  </si>
  <si>
    <t xml:space="preserve">CDM-QV07-Q005</t>
  </si>
  <si>
    <t xml:space="preserve">CDM-QV07-Q006</t>
  </si>
  <si>
    <t xml:space="preserve">CDM-QV07-Q007</t>
  </si>
  <si>
    <t xml:space="preserve">CDM-QV07-Q008</t>
  </si>
  <si>
    <t xml:space="preserve">CDM-QV07-Q009</t>
  </si>
  <si>
    <t xml:space="preserve">CDM-QV07-Q010</t>
  </si>
  <si>
    <t xml:space="preserve">CDM-QV07-Q011</t>
  </si>
  <si>
    <t xml:space="preserve">CDM-QV07-Q012</t>
  </si>
  <si>
    <t xml:space="preserve">CDM-QV07-Q013</t>
  </si>
  <si>
    <t xml:space="preserve">CDM-QV07-Q014</t>
  </si>
  <si>
    <t xml:space="preserve">CDM-QV07-Q015</t>
  </si>
  <si>
    <t xml:space="preserve">CDM-POOL-QV-08 — RECORDS CDM COLLECTIFS (QV) — TARGET : 15 questions</t>
  </si>
  <si>
    <t xml:space="preserve">SOURCE : REC-03 à 09 (âgé/jeune joueur, large victoire, buts, finale, affluence, but rapide)</t>
  </si>
  <si>
    <t xml:space="preserve">EXCLUS : QV-13  |  NOTES : REC-09 Şükür 11s = angle le plus jouable — prioriser</t>
  </si>
  <si>
    <t xml:space="preserve">CDM-QV08-Q001</t>
  </si>
  <si>
    <t xml:space="preserve">CDM-POOL-QV-08</t>
  </si>
  <si>
    <t xml:space="preserve">CDM-QV08-Q002</t>
  </si>
  <si>
    <t xml:space="preserve">CDM-QV08-Q003</t>
  </si>
  <si>
    <t xml:space="preserve">CDM-QV08-Q004</t>
  </si>
  <si>
    <t xml:space="preserve">CDM-QV08-Q005</t>
  </si>
  <si>
    <t xml:space="preserve">CDM-QV08-Q006</t>
  </si>
  <si>
    <t xml:space="preserve">CDM-QV08-Q007</t>
  </si>
  <si>
    <t xml:space="preserve">CDM-QV08-Q008</t>
  </si>
  <si>
    <t xml:space="preserve">CDM-QV08-Q009</t>
  </si>
  <si>
    <t xml:space="preserve">CDM-QV08-Q010</t>
  </si>
  <si>
    <t xml:space="preserve">CDM-QV08-Q011</t>
  </si>
  <si>
    <t xml:space="preserve">CDM-QV08-Q012</t>
  </si>
  <si>
    <t xml:space="preserve">CDM-QV08-Q013</t>
  </si>
  <si>
    <t xml:space="preserve">CDM-QV08-Q014</t>
  </si>
  <si>
    <t xml:space="preserve">CDM-QV08-Q015</t>
  </si>
  <si>
    <t xml:space="preserve">CDM-POOL-QV-09 — FINALISTES HORS GRANDES NATIONS (QV) — TARGET : 15 questions</t>
  </si>
  <si>
    <t xml:space="preserve">SOURCE : FIN-06 (NL) / FIN-07 (Uru) / FIN-08 (Hon) / FIN-09 (Tch.) / FIN-10 (Ang.)</t>
  </si>
  <si>
    <t xml:space="preserve">EXCLUS : IF-ROT-01  |  NOTES : NL 4 angles (seule grande nation sans titre). Football total 1974 → vérifier QV-04</t>
  </si>
  <si>
    <t xml:space="preserve">CDM-QV09-Q001</t>
  </si>
  <si>
    <t xml:space="preserve">CDM-POOL-QV-09</t>
  </si>
  <si>
    <t xml:space="preserve">CDM-QV09-Q002</t>
  </si>
  <si>
    <t xml:space="preserve">CDM-QV09-Q003</t>
  </si>
  <si>
    <t xml:space="preserve">CDM-QV09-Q004</t>
  </si>
  <si>
    <t xml:space="preserve">CDM-QV09-Q005</t>
  </si>
  <si>
    <t xml:space="preserve">CDM-QV09-Q006</t>
  </si>
  <si>
    <t xml:space="preserve">CDM-QV09-Q007</t>
  </si>
  <si>
    <t xml:space="preserve">CDM-QV09-Q008</t>
  </si>
  <si>
    <t xml:space="preserve">CDM-QV09-Q009</t>
  </si>
  <si>
    <t xml:space="preserve">CDM-QV09-Q010</t>
  </si>
  <si>
    <t xml:space="preserve">CDM-QV09-Q011</t>
  </si>
  <si>
    <t xml:space="preserve">CDM-QV09-Q012</t>
  </si>
  <si>
    <t xml:space="preserve">CDM-QV09-Q013</t>
  </si>
  <si>
    <t xml:space="preserve">CDM-QV09-Q014</t>
  </si>
  <si>
    <t xml:space="preserve">CDM-QV09-Q015</t>
  </si>
  <si>
    <t xml:space="preserve">CDM-POOL-QV-10 — PARTICIPATIONS DES NATIONS (QV) — TARGET : 15 questions</t>
  </si>
  <si>
    <t xml:space="preserve">SOURCE : PAR-01 à 15 (Brésil 22, All. 20, Italie 18, Argentine 18...)</t>
  </si>
  <si>
    <t xml:space="preserve">EXCLUS : IF-ROT-01 / QV-09  |  NOTES : PAR-01 Brésil présent à toutes les éditions = angle fort. Focus rang/nombre, pas palmarès</t>
  </si>
  <si>
    <t xml:space="preserve">CDM-QV10-Q001</t>
  </si>
  <si>
    <t xml:space="preserve">CDM-POOL-QV-10</t>
  </si>
  <si>
    <t xml:space="preserve">CDM-QV10-Q002</t>
  </si>
  <si>
    <t xml:space="preserve">CDM-QV10-Q003</t>
  </si>
  <si>
    <t xml:space="preserve">CDM-QV10-Q004</t>
  </si>
  <si>
    <t xml:space="preserve">CDM-QV10-Q005</t>
  </si>
  <si>
    <t xml:space="preserve">CDM-QV10-Q006</t>
  </si>
  <si>
    <t xml:space="preserve">CDM-QV10-Q007</t>
  </si>
  <si>
    <t xml:space="preserve">CDM-QV10-Q008</t>
  </si>
  <si>
    <t xml:space="preserve">CDM-QV10-Q009</t>
  </si>
  <si>
    <t xml:space="preserve">CDM-QV10-Q010</t>
  </si>
  <si>
    <t xml:space="preserve">CDM-QV10-Q011</t>
  </si>
  <si>
    <t xml:space="preserve">CDM-QV10-Q012</t>
  </si>
  <si>
    <t xml:space="preserve">CDM-QV10-Q013</t>
  </si>
  <si>
    <t xml:space="preserve">CDM-QV10-Q014</t>
  </si>
  <si>
    <t xml:space="preserve">CDM-QV10-Q015</t>
  </si>
  <si>
    <t xml:space="preserve">CDM-POOL-QV-11 — ANECDOTES N2/N3 (QV) — TARGET : 15 questions</t>
  </si>
  <si>
    <t xml:space="preserve">SOURCE : ANE-01 à 08 / ANE-12 / ANE-15 (discours 1950, Pelé 17 ans, trophée volé, but fantôme...)</t>
  </si>
  <si>
    <t xml:space="preserve">EXCLUS : IF-ROT-03  |  NOTES : ANE-02 Pelé 17 ans → non-collision IF-SF-01. ANE-15 → orienter sur 'humiliation' pas score</t>
  </si>
  <si>
    <t xml:space="preserve">CDM-QV11-Q001</t>
  </si>
  <si>
    <t xml:space="preserve">CDM-POOL-QV-11</t>
  </si>
  <si>
    <t xml:space="preserve">CDM-QV11-Q002</t>
  </si>
  <si>
    <t xml:space="preserve">CDM-QV11-Q003</t>
  </si>
  <si>
    <t xml:space="preserve">CDM-QV11-Q004</t>
  </si>
  <si>
    <t xml:space="preserve">CDM-QV11-Q005</t>
  </si>
  <si>
    <t xml:space="preserve">CDM-QV11-Q006</t>
  </si>
  <si>
    <t xml:space="preserve">CDM-QV11-Q007</t>
  </si>
  <si>
    <t xml:space="preserve">CDM-QV11-Q008</t>
  </si>
  <si>
    <t xml:space="preserve">CDM-QV11-Q009</t>
  </si>
  <si>
    <t xml:space="preserve">CDM-QV11-Q010</t>
  </si>
  <si>
    <t xml:space="preserve">CDM-QV11-Q011</t>
  </si>
  <si>
    <t xml:space="preserve">CDM-QV11-Q012</t>
  </si>
  <si>
    <t xml:space="preserve">CDM-QV11-Q013</t>
  </si>
  <si>
    <t xml:space="preserve">CDM-QV11-Q014</t>
  </si>
  <si>
    <t xml:space="preserve">CDM-QV11-Q015</t>
  </si>
  <si>
    <t xml:space="preserve">CDM-POOL-QV-12 — JOUEURS N3 ET LÉGENDES HISTORIQUES (QV) — TARGET : 15 questions</t>
  </si>
  <si>
    <t xml:space="preserve">SOURCE : JOU-10 (Di Stéfano) / JOU-13 (Paolo Rossi — 4 angles dont 1 éditorial) / JOU-14 (Gerd Müller) / JOU-15 (Garrincha) / JOU-16 (Bobby Charlton)</t>
  </si>
  <si>
    <t xml:space="preserve">EXCLUS : QV-02 / QV-13  |  NOTES : Fontaine retiré (multi-pool). Rossi étendu à 4 angles (+1 éditorial : héros/Ballon d'Or 1982, buts en finale). Gerd Müller → angles distincts BUE-03/BUT-03. Total : 15 angles → 15 questions.</t>
  </si>
  <si>
    <t xml:space="preserve">CDM-QV12-Q001</t>
  </si>
  <si>
    <t xml:space="preserve">CDM-POOL-QV-12</t>
  </si>
  <si>
    <t xml:space="preserve">CDM-QV12-Q002</t>
  </si>
  <si>
    <t xml:space="preserve">CDM-QV12-Q003</t>
  </si>
  <si>
    <t xml:space="preserve">CDM-QV12-Q004</t>
  </si>
  <si>
    <t xml:space="preserve">CDM-QV12-Q005</t>
  </si>
  <si>
    <t xml:space="preserve">CDM-QV12-Q006</t>
  </si>
  <si>
    <t xml:space="preserve">CDM-QV12-Q007</t>
  </si>
  <si>
    <t xml:space="preserve">CDM-QV12-Q008</t>
  </si>
  <si>
    <t xml:space="preserve">CDM-QV12-Q009</t>
  </si>
  <si>
    <t xml:space="preserve">CDM-QV12-Q010</t>
  </si>
  <si>
    <t xml:space="preserve">CDM-QV12-Q011</t>
  </si>
  <si>
    <t xml:space="preserve">CDM-QV12-Q012</t>
  </si>
  <si>
    <t xml:space="preserve">CDM-QV12-Q013</t>
  </si>
  <si>
    <t xml:space="preserve">CDM-QV12-Q014</t>
  </si>
  <si>
    <t xml:space="preserve">CDM-QV12-Q015</t>
  </si>
  <si>
    <t xml:space="preserve">CDM-JOU-13 (+éditorial)</t>
  </si>
  <si>
    <t xml:space="preserve">CDM-POOL-QV-13 — BUTEURS ALL-TIME RANGS 3-10 + RECORDS INDIV. (QV) — TARGET : 15 questions</t>
  </si>
  <si>
    <t xml:space="preserve">SOURCE : BUT-03/04/08/09/10 (Müller 14, Fontaine 13, Kocsis 11, Klinsmann 11, Rahn 10) + REC-01/02</t>
  </si>
  <si>
    <t xml:space="preserve">EXCLUS : IF-ROT-02 / QV-07  |  NOTES : REC-01 Matthäus 25 matchs → distinct de JOU-17 (QV-02). REC-02 Klose 17 victoires → distinct BUT-01</t>
  </si>
  <si>
    <t xml:space="preserve">CDM-QV13-Q001</t>
  </si>
  <si>
    <t xml:space="preserve">CDM-POOL-QV-13</t>
  </si>
  <si>
    <t xml:space="preserve">CDM-QV13-Q002</t>
  </si>
  <si>
    <t xml:space="preserve">CDM-QV13-Q003</t>
  </si>
  <si>
    <t xml:space="preserve">CDM-QV13-Q004</t>
  </si>
  <si>
    <t xml:space="preserve">CDM-QV13-Q005</t>
  </si>
  <si>
    <t xml:space="preserve">CDM-QV13-Q006</t>
  </si>
  <si>
    <t xml:space="preserve">CDM-QV13-Q007</t>
  </si>
  <si>
    <t xml:space="preserve">CDM-QV13-Q008</t>
  </si>
  <si>
    <t xml:space="preserve">CDM-QV13-Q009</t>
  </si>
  <si>
    <t xml:space="preserve">CDM-QV13-Q010</t>
  </si>
  <si>
    <t xml:space="preserve">CDM-QV13-Q011</t>
  </si>
  <si>
    <t xml:space="preserve">CDM-QV13-Q012</t>
  </si>
  <si>
    <t xml:space="preserve">CDM-QV13-Q013</t>
  </si>
  <si>
    <t xml:space="preserve">CDM-QV13-Q014</t>
  </si>
  <si>
    <t xml:space="preserve">CDM-QV13-Q015</t>
  </si>
  <si>
    <t xml:space="preserve">CDM-POOL-QV-14 — PAYS HÔTES ET ÉDITIONS CDM (QV) — TARGET : 15 questions</t>
  </si>
  <si>
    <t xml:space="preserve">SOURCE : Éditorial — organisateurs, formats, règles, années</t>
  </si>
  <si>
    <t xml:space="preserve">EXCLUS : IF-SF-01 / IF-SF-02 / QV-04 / QV-05  |  NOTES : ⚠️ À VALIDER : périmètre éditorial. Éviter résultats de matchs ou joueurs</t>
  </si>
  <si>
    <t xml:space="preserve">CDM-QV14-Q001</t>
  </si>
  <si>
    <t xml:space="preserve">CDM-POOL-QV-14</t>
  </si>
  <si>
    <t xml:space="preserve">CDM-QV14-Q002</t>
  </si>
  <si>
    <t xml:space="preserve">CDM-QV14-Q003</t>
  </si>
  <si>
    <t xml:space="preserve">CDM-QV14-Q004</t>
  </si>
  <si>
    <t xml:space="preserve">CDM-QV14-Q005</t>
  </si>
  <si>
    <t xml:space="preserve">CDM-QV14-Q006</t>
  </si>
  <si>
    <t xml:space="preserve">CDM-QV14-Q007</t>
  </si>
  <si>
    <t xml:space="preserve">CDM-QV14-Q008</t>
  </si>
  <si>
    <t xml:space="preserve">CDM-QV14-Q009</t>
  </si>
  <si>
    <t xml:space="preserve">CDM-QV14-Q010</t>
  </si>
  <si>
    <t xml:space="preserve">CDM-QV14-Q011</t>
  </si>
  <si>
    <t xml:space="preserve">CDM-QV14-Q012</t>
  </si>
  <si>
    <t xml:space="preserve">CDM-QV14-Q013</t>
  </si>
  <si>
    <t xml:space="preserve">CDM-QV14-Q014</t>
  </si>
  <si>
    <t xml:space="preserve">CDM-QV14-Q015</t>
  </si>
  <si>
    <t xml:space="preserve">CDM-POOL-QV-15 — CURIOSITÉS ET PETITE HISTOIRE CDM (QV) — TARGET : 15 questions</t>
  </si>
  <si>
    <t xml:space="preserve">SOURCE : Éditorial — trophée, mascottes, ballons, hymnes, records insolites</t>
  </si>
  <si>
    <t xml:space="preserve">EXCLUS : Tous pools ANGIPREGEN directs  |  NOTES : ⚠️ À VALIDER : périmètre éditorial. Viser accessibilité N1/N2</t>
  </si>
  <si>
    <t xml:space="preserve">CDM-QV15-Q001</t>
  </si>
  <si>
    <t xml:space="preserve">CDM-POOL-QV-15</t>
  </si>
  <si>
    <t xml:space="preserve">CDM-QV15-Q002</t>
  </si>
  <si>
    <t xml:space="preserve">CDM-QV15-Q003</t>
  </si>
  <si>
    <t xml:space="preserve">CDM-QV15-Q004</t>
  </si>
  <si>
    <t xml:space="preserve">CDM-QV15-Q005</t>
  </si>
  <si>
    <t xml:space="preserve">CDM-QV15-Q006</t>
  </si>
  <si>
    <t xml:space="preserve">CDM-QV15-Q007</t>
  </si>
  <si>
    <t xml:space="preserve">CDM-QV15-Q008</t>
  </si>
  <si>
    <t xml:space="preserve">CDM-QV15-Q009</t>
  </si>
  <si>
    <t xml:space="preserve">CDM-QV15-Q010</t>
  </si>
  <si>
    <t xml:space="preserve">CDM-QV15-Q011</t>
  </si>
  <si>
    <t xml:space="preserve">CDM-QV15-Q012</t>
  </si>
  <si>
    <t xml:space="preserve">CDM-QV15-Q013</t>
  </si>
  <si>
    <t xml:space="preserve">CDM-QV15-Q014</t>
  </si>
  <si>
    <t xml:space="preserve">CDM-QV15-Q015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</si>
</sst>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9"/>
      <color rgb="FF1F497D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777777"/>
      <name val="Arial"/>
      <family val="0"/>
      <charset val="1"/>
    </font>
    <font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9"/>
      <color rgb="FF7B3F00"/>
      <name val="Arial"/>
      <family val="0"/>
      <charset val="1"/>
    </font>
    <font>
      <i val="true"/>
      <sz val="9"/>
      <color rgb="FF005500"/>
      <name val="Arial"/>
      <family val="0"/>
      <charset val="1"/>
    </font>
    <font>
      <i val="true"/>
      <sz val="9"/>
      <color rgb="FF375623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C3557"/>
        <bgColor rgb="FF333333"/>
      </patternFill>
    </fill>
    <fill>
      <patternFill patternType="solid">
        <fgColor rgb="FFE8EEF4"/>
        <bgColor rgb="FFE4EEF7"/>
      </patternFill>
    </fill>
    <fill>
      <patternFill patternType="solid">
        <fgColor rgb="FFFFE4E4"/>
        <bgColor rgb="FFFFD9D9"/>
      </patternFill>
    </fill>
    <fill>
      <patternFill patternType="solid">
        <fgColor rgb="FFE4EEF7"/>
        <bgColor rgb="FFE8EEF4"/>
      </patternFill>
    </fill>
    <fill>
      <patternFill patternType="solid">
        <fgColor rgb="FFEAF3E6"/>
        <bgColor rgb="FFE8EEF4"/>
      </patternFill>
    </fill>
    <fill>
      <patternFill patternType="solid">
        <fgColor rgb="FF8B0000"/>
        <bgColor rgb="FF800000"/>
      </patternFill>
    </fill>
    <fill>
      <patternFill patternType="solid">
        <fgColor rgb="FFFFD9D9"/>
        <bgColor rgb="FFFFE4E4"/>
      </patternFill>
    </fill>
    <fill>
      <patternFill patternType="solid">
        <fgColor rgb="FFFFFFFF"/>
        <bgColor rgb="FFF4FAF2"/>
      </patternFill>
    </fill>
    <fill>
      <patternFill patternType="solid">
        <fgColor rgb="FFFFF5F5"/>
        <bgColor rgb="FFF4FAF2"/>
      </patternFill>
    </fill>
    <fill>
      <patternFill patternType="solid">
        <fgColor rgb="FFFFF2CC"/>
        <bgColor rgb="FFFFE4E4"/>
      </patternFill>
    </fill>
    <fill>
      <patternFill patternType="solid">
        <fgColor rgb="FF1F497D"/>
        <bgColor rgb="FF1C3557"/>
      </patternFill>
    </fill>
    <fill>
      <patternFill patternType="solid">
        <fgColor rgb="FFD9E5F3"/>
        <bgColor rgb="FFE4EEF7"/>
      </patternFill>
    </fill>
    <fill>
      <patternFill patternType="solid">
        <fgColor rgb="FFF0F5FF"/>
        <bgColor rgb="FFF4FAF2"/>
      </patternFill>
    </fill>
    <fill>
      <patternFill patternType="solid">
        <fgColor rgb="FF375623"/>
        <bgColor rgb="FF555555"/>
      </patternFill>
    </fill>
    <fill>
      <patternFill patternType="solid">
        <fgColor rgb="FFD9EAD3"/>
        <bgColor rgb="FFC6EFCE"/>
      </patternFill>
    </fill>
    <fill>
      <patternFill patternType="solid">
        <fgColor rgb="FFF4FAF2"/>
        <bgColor rgb="FFF0F5FF"/>
      </patternFill>
    </fill>
    <fill>
      <patternFill patternType="solid">
        <fgColor rgb="FFC6EFCE"/>
        <bgColor rgb="FFD9EAD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999999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1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4FAF2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555555"/>
      <rgbColor rgb="FFFFF2CC"/>
      <rgbColor rgb="FFE4EEF7"/>
      <rgbColor rgb="FF660066"/>
      <rgbColor rgb="FFFF8080"/>
      <rgbColor rgb="FF0066CC"/>
      <rgbColor rgb="FFD9E5F3"/>
      <rgbColor rgb="FF000080"/>
      <rgbColor rgb="FFFF00FF"/>
      <rgbColor rgb="FFFFF5F5"/>
      <rgbColor rgb="FF00FFFF"/>
      <rgbColor rgb="FF800080"/>
      <rgbColor rgb="FF800000"/>
      <rgbColor rgb="FF008080"/>
      <rgbColor rgb="FF0000FF"/>
      <rgbColor rgb="FF00CCFF"/>
      <rgbColor rgb="FFE8EEF4"/>
      <rgbColor rgb="FFC6EFCE"/>
      <rgbColor rgb="FFEAF3E6"/>
      <rgbColor rgb="FFD9EAD3"/>
      <rgbColor rgb="FFFFE4E4"/>
      <rgbColor rgb="FFF0F5FF"/>
      <rgbColor rgb="FFFFD9D9"/>
      <rgbColor rgb="FF3366FF"/>
      <rgbColor rgb="FF33CCCC"/>
      <rgbColor rgb="FF99CC00"/>
      <rgbColor rgb="FFFFCC00"/>
      <rgbColor rgb="FFFF9900"/>
      <rgbColor rgb="FFFF6600"/>
      <rgbColor rgb="FF777777"/>
      <rgbColor rgb="FF999999"/>
      <rgbColor rgb="FF1C3557"/>
      <rgbColor rgb="FF339966"/>
      <rgbColor rgb="FF005500"/>
      <rgbColor rgb="FF375623"/>
      <rgbColor rgb="FF7B3F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40"/>
    <col collapsed="false" customWidth="true" hidden="false" outlineLevel="0" max="5" min="5" style="1" width="7"/>
    <col collapsed="false" customWidth="true" hidden="false" outlineLevel="0" max="6" min="6" style="1" width="35"/>
    <col collapsed="false" customWidth="true" hidden="false" outlineLevel="0" max="7" min="7" style="1" width="20"/>
    <col collapsed="false" customWidth="true" hidden="false" outlineLevel="0" max="8" min="8" style="1" width="40"/>
    <col collapsed="false" customWidth="true" hidden="false" outlineLevel="0" max="9" min="9" style="1" width="8"/>
    <col collapsed="false" customWidth="true" hidden="false" outlineLevel="0" max="10" min="10" style="1" width="10"/>
    <col collapsed="false" customWidth="true" hidden="false" outlineLevel="0" max="12" min="11" style="1" width="8"/>
    <col collapsed="false" customWidth="true" hidden="false" outlineLevel="0" max="13" min="13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6" hidden="false" customHeight="true" outlineLevel="0" collapsed="false"/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18" hidden="false" customHeight="true" outlineLevel="0" collapsed="false">
      <c r="A5" s="5" t="n">
        <v>1</v>
      </c>
      <c r="B5" s="6" t="s">
        <v>15</v>
      </c>
      <c r="C5" s="7" t="s">
        <v>16</v>
      </c>
      <c r="D5" s="8" t="s">
        <v>17</v>
      </c>
      <c r="E5" s="5" t="n">
        <v>8</v>
      </c>
      <c r="F5" s="8" t="s">
        <v>18</v>
      </c>
      <c r="G5" s="8" t="s">
        <v>19</v>
      </c>
      <c r="H5" s="8" t="s">
        <v>20</v>
      </c>
      <c r="I5" s="5" t="n">
        <f aca="false">COUNTIF('IF-SF-01'!L:L,"PASS")</f>
        <v>0</v>
      </c>
      <c r="J5" s="5" t="n">
        <f aca="false">COUNTIF('IF-SF-01'!L:L,"WARNING")</f>
        <v>0</v>
      </c>
      <c r="K5" s="5" t="n">
        <f aca="false">COUNTIF('IF-SF-01'!L:L,"FAIL")</f>
        <v>0</v>
      </c>
      <c r="L5" s="5" t="n">
        <f aca="false">COUNTIF('IF-SF-01'!L:L,"DRAFT")</f>
        <v>8</v>
      </c>
      <c r="M5" s="5" t="str">
        <f aca="false">IF(I5+J5+K5+L5=0,"—",TEXT((I5)/8,"0%"))</f>
        <v>0%</v>
      </c>
    </row>
    <row r="6" customFormat="false" ht="18" hidden="false" customHeight="true" outlineLevel="0" collapsed="false">
      <c r="A6" s="5" t="n">
        <v>2</v>
      </c>
      <c r="B6" s="6" t="s">
        <v>21</v>
      </c>
      <c r="C6" s="7" t="s">
        <v>16</v>
      </c>
      <c r="D6" s="8" t="s">
        <v>22</v>
      </c>
      <c r="E6" s="5" t="n">
        <v>8</v>
      </c>
      <c r="F6" s="8" t="s">
        <v>23</v>
      </c>
      <c r="G6" s="8" t="s">
        <v>19</v>
      </c>
      <c r="H6" s="8" t="s">
        <v>24</v>
      </c>
      <c r="I6" s="5" t="n">
        <f aca="false">COUNTIF('IF-SF-02'!L:L,"PASS")</f>
        <v>0</v>
      </c>
      <c r="J6" s="5" t="n">
        <f aca="false">COUNTIF('IF-SF-02'!L:L,"WARNING")</f>
        <v>0</v>
      </c>
      <c r="K6" s="5" t="n">
        <f aca="false">COUNTIF('IF-SF-02'!L:L,"FAIL")</f>
        <v>0</v>
      </c>
      <c r="L6" s="5" t="n">
        <f aca="false">COUNTIF('IF-SF-02'!L:L,"DRAFT")</f>
        <v>8</v>
      </c>
      <c r="M6" s="5" t="str">
        <f aca="false">IF(I6+J6+K6+L6=0,"—",TEXT((I6)/8,"0%"))</f>
        <v>0%</v>
      </c>
    </row>
    <row r="7" customFormat="false" ht="18" hidden="false" customHeight="true" outlineLevel="0" collapsed="false">
      <c r="A7" s="9" t="n">
        <v>3</v>
      </c>
      <c r="B7" s="10" t="s">
        <v>25</v>
      </c>
      <c r="C7" s="11" t="s">
        <v>26</v>
      </c>
      <c r="D7" s="12" t="s">
        <v>27</v>
      </c>
      <c r="E7" s="9" t="n">
        <v>12</v>
      </c>
      <c r="F7" s="12" t="s">
        <v>28</v>
      </c>
      <c r="G7" s="12" t="s">
        <v>29</v>
      </c>
      <c r="H7" s="12" t="s">
        <v>30</v>
      </c>
      <c r="I7" s="9" t="n">
        <f aca="false">COUNTIF('IF-ROT-01'!L:L,"PASS")</f>
        <v>0</v>
      </c>
      <c r="J7" s="9" t="n">
        <f aca="false">COUNTIF('IF-ROT-01'!L:L,"WARNING")</f>
        <v>0</v>
      </c>
      <c r="K7" s="9" t="n">
        <f aca="false">COUNTIF('IF-ROT-01'!L:L,"FAIL")</f>
        <v>0</v>
      </c>
      <c r="L7" s="9" t="n">
        <f aca="false">COUNTIF('IF-ROT-01'!L:L,"DRAFT")</f>
        <v>12</v>
      </c>
      <c r="M7" s="9" t="str">
        <f aca="false">IF(I7+J7+K7+L7=0,"—",TEXT((I7)/12,"0%"))</f>
        <v>0%</v>
      </c>
    </row>
    <row r="8" customFormat="false" ht="18" hidden="false" customHeight="true" outlineLevel="0" collapsed="false">
      <c r="A8" s="9" t="n">
        <v>4</v>
      </c>
      <c r="B8" s="10" t="s">
        <v>31</v>
      </c>
      <c r="C8" s="11" t="s">
        <v>26</v>
      </c>
      <c r="D8" s="12" t="s">
        <v>32</v>
      </c>
      <c r="E8" s="9" t="n">
        <v>12</v>
      </c>
      <c r="F8" s="12" t="s">
        <v>33</v>
      </c>
      <c r="G8" s="12" t="s">
        <v>34</v>
      </c>
      <c r="H8" s="12" t="s">
        <v>35</v>
      </c>
      <c r="I8" s="9" t="n">
        <f aca="false">COUNTIF('IF-ROT-02'!L:L,"PASS")</f>
        <v>0</v>
      </c>
      <c r="J8" s="9" t="n">
        <f aca="false">COUNTIF('IF-ROT-02'!L:L,"WARNING")</f>
        <v>0</v>
      </c>
      <c r="K8" s="9" t="n">
        <f aca="false">COUNTIF('IF-ROT-02'!L:L,"FAIL")</f>
        <v>0</v>
      </c>
      <c r="L8" s="9" t="n">
        <f aca="false">COUNTIF('IF-ROT-02'!L:L,"DRAFT")</f>
        <v>12</v>
      </c>
      <c r="M8" s="9" t="str">
        <f aca="false">IF(I8+J8+K8+L8=0,"—",TEXT((I8)/12,"0%"))</f>
        <v>0%</v>
      </c>
    </row>
    <row r="9" customFormat="false" ht="18" hidden="false" customHeight="true" outlineLevel="0" collapsed="false">
      <c r="A9" s="9" t="n">
        <v>5</v>
      </c>
      <c r="B9" s="10" t="s">
        <v>36</v>
      </c>
      <c r="C9" s="11" t="s">
        <v>26</v>
      </c>
      <c r="D9" s="12" t="s">
        <v>37</v>
      </c>
      <c r="E9" s="9" t="n">
        <v>12</v>
      </c>
      <c r="F9" s="12" t="s">
        <v>38</v>
      </c>
      <c r="G9" s="12" t="s">
        <v>39</v>
      </c>
      <c r="H9" s="12" t="s">
        <v>40</v>
      </c>
      <c r="I9" s="9" t="n">
        <f aca="false">COUNTIF('IF-ROT-03'!L:L,"PASS")</f>
        <v>0</v>
      </c>
      <c r="J9" s="9" t="n">
        <f aca="false">COUNTIF('IF-ROT-03'!L:L,"WARNING")</f>
        <v>0</v>
      </c>
      <c r="K9" s="9" t="n">
        <f aca="false">COUNTIF('IF-ROT-03'!L:L,"FAIL")</f>
        <v>0</v>
      </c>
      <c r="L9" s="9" t="n">
        <f aca="false">COUNTIF('IF-ROT-03'!L:L,"DRAFT")</f>
        <v>12</v>
      </c>
      <c r="M9" s="9" t="str">
        <f aca="false">IF(I9+J9+K9+L9=0,"—",TEXT((I9)/12,"0%"))</f>
        <v>0%</v>
      </c>
    </row>
    <row r="10" customFormat="false" ht="18" hidden="false" customHeight="true" outlineLevel="0" collapsed="false">
      <c r="A10" s="13" t="n">
        <v>6</v>
      </c>
      <c r="B10" s="14" t="s">
        <v>41</v>
      </c>
      <c r="C10" s="15" t="s">
        <v>42</v>
      </c>
      <c r="D10" s="16" t="s">
        <v>43</v>
      </c>
      <c r="E10" s="13" t="n">
        <v>15</v>
      </c>
      <c r="F10" s="16" t="s">
        <v>44</v>
      </c>
      <c r="G10" s="16" t="s">
        <v>45</v>
      </c>
      <c r="H10" s="16" t="s">
        <v>46</v>
      </c>
      <c r="I10" s="13" t="n">
        <f aca="false">COUNTIF('QV-01'!L:L,"PASS")</f>
        <v>0</v>
      </c>
      <c r="J10" s="13" t="n">
        <f aca="false">COUNTIF('QV-01'!L:L,"WARNING")</f>
        <v>0</v>
      </c>
      <c r="K10" s="13" t="n">
        <f aca="false">COUNTIF('QV-01'!L:L,"FAIL")</f>
        <v>0</v>
      </c>
      <c r="L10" s="13" t="n">
        <f aca="false">COUNTIF('QV-01'!L:L,"DRAFT")</f>
        <v>15</v>
      </c>
      <c r="M10" s="13" t="str">
        <f aca="false">IF(I10+J10+K10+L10=0,"—",TEXT((I10)/15,"0%"))</f>
        <v>0%</v>
      </c>
    </row>
    <row r="11" customFormat="false" ht="18" hidden="false" customHeight="true" outlineLevel="0" collapsed="false">
      <c r="A11" s="13" t="n">
        <v>7</v>
      </c>
      <c r="B11" s="14" t="s">
        <v>47</v>
      </c>
      <c r="C11" s="15" t="s">
        <v>42</v>
      </c>
      <c r="D11" s="16" t="s">
        <v>48</v>
      </c>
      <c r="E11" s="13" t="n">
        <v>15</v>
      </c>
      <c r="F11" s="16" t="s">
        <v>49</v>
      </c>
      <c r="G11" s="16" t="s">
        <v>50</v>
      </c>
      <c r="H11" s="16" t="s">
        <v>51</v>
      </c>
      <c r="I11" s="13" t="n">
        <f aca="false">COUNTIF('QV-02'!L:L,"PASS")</f>
        <v>0</v>
      </c>
      <c r="J11" s="13" t="n">
        <f aca="false">COUNTIF('QV-02'!L:L,"WARNING")</f>
        <v>0</v>
      </c>
      <c r="K11" s="13" t="n">
        <f aca="false">COUNTIF('QV-02'!L:L,"FAIL")</f>
        <v>0</v>
      </c>
      <c r="L11" s="13" t="n">
        <f aca="false">COUNTIF('QV-02'!L:L,"DRAFT")</f>
        <v>15</v>
      </c>
      <c r="M11" s="13" t="str">
        <f aca="false">IF(I11+J11+K11+L11=0,"—",TEXT((I11)/15,"0%"))</f>
        <v>0%</v>
      </c>
    </row>
    <row r="12" customFormat="false" ht="18" hidden="false" customHeight="true" outlineLevel="0" collapsed="false">
      <c r="A12" s="13" t="n">
        <v>8</v>
      </c>
      <c r="B12" s="14" t="s">
        <v>52</v>
      </c>
      <c r="C12" s="15" t="s">
        <v>42</v>
      </c>
      <c r="D12" s="16" t="s">
        <v>53</v>
      </c>
      <c r="E12" s="13" t="n">
        <v>15</v>
      </c>
      <c r="F12" s="16" t="s">
        <v>54</v>
      </c>
      <c r="G12" s="16" t="s">
        <v>55</v>
      </c>
      <c r="H12" s="16" t="s">
        <v>56</v>
      </c>
      <c r="I12" s="13" t="n">
        <f aca="false">COUNTIF('QV-03'!L:L,"PASS")</f>
        <v>0</v>
      </c>
      <c r="J12" s="13" t="n">
        <f aca="false">COUNTIF('QV-03'!L:L,"WARNING")</f>
        <v>0</v>
      </c>
      <c r="K12" s="13" t="n">
        <f aca="false">COUNTIF('QV-03'!L:L,"FAIL")</f>
        <v>0</v>
      </c>
      <c r="L12" s="13" t="n">
        <f aca="false">COUNTIF('QV-03'!L:L,"DRAFT")</f>
        <v>15</v>
      </c>
      <c r="M12" s="13" t="str">
        <f aca="false">IF(I12+J12+K12+L12=0,"—",TEXT((I12)/15,"0%"))</f>
        <v>0%</v>
      </c>
    </row>
    <row r="13" customFormat="false" ht="18" hidden="false" customHeight="true" outlineLevel="0" collapsed="false">
      <c r="A13" s="13" t="n">
        <v>9</v>
      </c>
      <c r="B13" s="14" t="s">
        <v>57</v>
      </c>
      <c r="C13" s="15" t="s">
        <v>42</v>
      </c>
      <c r="D13" s="16" t="s">
        <v>58</v>
      </c>
      <c r="E13" s="13" t="n">
        <v>15</v>
      </c>
      <c r="F13" s="16" t="s">
        <v>59</v>
      </c>
      <c r="G13" s="16" t="s">
        <v>60</v>
      </c>
      <c r="H13" s="16" t="s">
        <v>61</v>
      </c>
      <c r="I13" s="13" t="n">
        <f aca="false">COUNTIF('QV-04'!L:L,"PASS")</f>
        <v>0</v>
      </c>
      <c r="J13" s="13" t="n">
        <f aca="false">COUNTIF('QV-04'!L:L,"WARNING")</f>
        <v>0</v>
      </c>
      <c r="K13" s="13" t="n">
        <f aca="false">COUNTIF('QV-04'!L:L,"FAIL")</f>
        <v>0</v>
      </c>
      <c r="L13" s="13" t="n">
        <f aca="false">COUNTIF('QV-04'!L:L,"DRAFT")</f>
        <v>15</v>
      </c>
      <c r="M13" s="13" t="str">
        <f aca="false">IF(I13+J13+K13+L13=0,"—",TEXT((I13)/15,"0%"))</f>
        <v>0%</v>
      </c>
    </row>
    <row r="14" customFormat="false" ht="18" hidden="false" customHeight="true" outlineLevel="0" collapsed="false">
      <c r="A14" s="13" t="n">
        <v>10</v>
      </c>
      <c r="B14" s="14" t="s">
        <v>62</v>
      </c>
      <c r="C14" s="15" t="s">
        <v>42</v>
      </c>
      <c r="D14" s="16" t="s">
        <v>63</v>
      </c>
      <c r="E14" s="13" t="n">
        <v>15</v>
      </c>
      <c r="F14" s="16" t="s">
        <v>64</v>
      </c>
      <c r="G14" s="16" t="s">
        <v>65</v>
      </c>
      <c r="H14" s="16" t="s">
        <v>66</v>
      </c>
      <c r="I14" s="13" t="n">
        <f aca="false">COUNTIF('QV-05'!L:L,"PASS")</f>
        <v>0</v>
      </c>
      <c r="J14" s="13" t="n">
        <f aca="false">COUNTIF('QV-05'!L:L,"WARNING")</f>
        <v>0</v>
      </c>
      <c r="K14" s="13" t="n">
        <f aca="false">COUNTIF('QV-05'!L:L,"FAIL")</f>
        <v>0</v>
      </c>
      <c r="L14" s="13" t="n">
        <f aca="false">COUNTIF('QV-05'!L:L,"DRAFT")</f>
        <v>15</v>
      </c>
      <c r="M14" s="13" t="str">
        <f aca="false">IF(I14+J14+K14+L14=0,"—",TEXT((I14)/15,"0%"))</f>
        <v>0%</v>
      </c>
    </row>
    <row r="15" customFormat="false" ht="18" hidden="false" customHeight="true" outlineLevel="0" collapsed="false">
      <c r="A15" s="13" t="n">
        <v>11</v>
      </c>
      <c r="B15" s="14" t="s">
        <v>67</v>
      </c>
      <c r="C15" s="15" t="s">
        <v>42</v>
      </c>
      <c r="D15" s="16" t="s">
        <v>68</v>
      </c>
      <c r="E15" s="13" t="n">
        <v>15</v>
      </c>
      <c r="F15" s="16" t="s">
        <v>69</v>
      </c>
      <c r="G15" s="16" t="s">
        <v>70</v>
      </c>
      <c r="H15" s="16" t="s">
        <v>71</v>
      </c>
      <c r="I15" s="13" t="n">
        <f aca="false">COUNTIF('QV-06'!L:L,"PASS")</f>
        <v>0</v>
      </c>
      <c r="J15" s="13" t="n">
        <f aca="false">COUNTIF('QV-06'!L:L,"WARNING")</f>
        <v>0</v>
      </c>
      <c r="K15" s="13" t="n">
        <f aca="false">COUNTIF('QV-06'!L:L,"FAIL")</f>
        <v>0</v>
      </c>
      <c r="L15" s="13" t="n">
        <f aca="false">COUNTIF('QV-06'!L:L,"DRAFT")</f>
        <v>15</v>
      </c>
      <c r="M15" s="13" t="str">
        <f aca="false">IF(I15+J15+K15+L15=0,"—",TEXT((I15)/15,"0%"))</f>
        <v>0%</v>
      </c>
    </row>
    <row r="16" customFormat="false" ht="18" hidden="false" customHeight="true" outlineLevel="0" collapsed="false">
      <c r="A16" s="13" t="n">
        <v>12</v>
      </c>
      <c r="B16" s="14" t="s">
        <v>72</v>
      </c>
      <c r="C16" s="15" t="s">
        <v>42</v>
      </c>
      <c r="D16" s="16" t="s">
        <v>73</v>
      </c>
      <c r="E16" s="13" t="n">
        <v>15</v>
      </c>
      <c r="F16" s="16" t="s">
        <v>74</v>
      </c>
      <c r="G16" s="16" t="s">
        <v>75</v>
      </c>
      <c r="H16" s="16" t="s">
        <v>76</v>
      </c>
      <c r="I16" s="13" t="n">
        <f aca="false">COUNTIF('QV-07'!L:L,"PASS")</f>
        <v>0</v>
      </c>
      <c r="J16" s="13" t="n">
        <f aca="false">COUNTIF('QV-07'!L:L,"WARNING")</f>
        <v>0</v>
      </c>
      <c r="K16" s="13" t="n">
        <f aca="false">COUNTIF('QV-07'!L:L,"FAIL")</f>
        <v>0</v>
      </c>
      <c r="L16" s="13" t="n">
        <f aca="false">COUNTIF('QV-07'!L:L,"DRAFT")</f>
        <v>15</v>
      </c>
      <c r="M16" s="13" t="str">
        <f aca="false">IF(I16+J16+K16+L16=0,"—",TEXT((I16)/15,"0%"))</f>
        <v>0%</v>
      </c>
    </row>
    <row r="17" customFormat="false" ht="18" hidden="false" customHeight="true" outlineLevel="0" collapsed="false">
      <c r="A17" s="13" t="n">
        <v>13</v>
      </c>
      <c r="B17" s="14" t="s">
        <v>77</v>
      </c>
      <c r="C17" s="15" t="s">
        <v>42</v>
      </c>
      <c r="D17" s="16" t="s">
        <v>78</v>
      </c>
      <c r="E17" s="13" t="n">
        <v>15</v>
      </c>
      <c r="F17" s="16" t="s">
        <v>79</v>
      </c>
      <c r="G17" s="16" t="s">
        <v>34</v>
      </c>
      <c r="H17" s="16" t="s">
        <v>80</v>
      </c>
      <c r="I17" s="13" t="n">
        <f aca="false">COUNTIF('QV-08'!L:L,"PASS")</f>
        <v>0</v>
      </c>
      <c r="J17" s="13" t="n">
        <f aca="false">COUNTIF('QV-08'!L:L,"WARNING")</f>
        <v>0</v>
      </c>
      <c r="K17" s="13" t="n">
        <f aca="false">COUNTIF('QV-08'!L:L,"FAIL")</f>
        <v>0</v>
      </c>
      <c r="L17" s="13" t="n">
        <f aca="false">COUNTIF('QV-08'!L:L,"DRAFT")</f>
        <v>15</v>
      </c>
      <c r="M17" s="13" t="str">
        <f aca="false">IF(I17+J17+K17+L17=0,"—",TEXT((I17)/15,"0%"))</f>
        <v>0%</v>
      </c>
    </row>
    <row r="18" customFormat="false" ht="18" hidden="false" customHeight="true" outlineLevel="0" collapsed="false">
      <c r="A18" s="13" t="n">
        <v>14</v>
      </c>
      <c r="B18" s="14" t="s">
        <v>29</v>
      </c>
      <c r="C18" s="15" t="s">
        <v>42</v>
      </c>
      <c r="D18" s="16" t="s">
        <v>81</v>
      </c>
      <c r="E18" s="13" t="n">
        <v>15</v>
      </c>
      <c r="F18" s="16" t="s">
        <v>82</v>
      </c>
      <c r="G18" s="16" t="s">
        <v>25</v>
      </c>
      <c r="H18" s="16" t="s">
        <v>83</v>
      </c>
      <c r="I18" s="13" t="n">
        <f aca="false">COUNTIF('QV-09'!L:L,"PASS")</f>
        <v>0</v>
      </c>
      <c r="J18" s="13" t="n">
        <f aca="false">COUNTIF('QV-09'!L:L,"WARNING")</f>
        <v>0</v>
      </c>
      <c r="K18" s="13" t="n">
        <f aca="false">COUNTIF('QV-09'!L:L,"FAIL")</f>
        <v>0</v>
      </c>
      <c r="L18" s="13" t="n">
        <f aca="false">COUNTIF('QV-09'!L:L,"DRAFT")</f>
        <v>15</v>
      </c>
      <c r="M18" s="13" t="str">
        <f aca="false">IF(I18+J18+K18+L18=0,"—",TEXT((I18)/15,"0%"))</f>
        <v>0%</v>
      </c>
    </row>
    <row r="19" customFormat="false" ht="18" hidden="false" customHeight="true" outlineLevel="0" collapsed="false">
      <c r="A19" s="13" t="n">
        <v>15</v>
      </c>
      <c r="B19" s="14" t="s">
        <v>84</v>
      </c>
      <c r="C19" s="15" t="s">
        <v>42</v>
      </c>
      <c r="D19" s="16" t="s">
        <v>85</v>
      </c>
      <c r="E19" s="13" t="n">
        <v>15</v>
      </c>
      <c r="F19" s="16" t="s">
        <v>86</v>
      </c>
      <c r="G19" s="16" t="s">
        <v>87</v>
      </c>
      <c r="H19" s="16" t="s">
        <v>88</v>
      </c>
      <c r="I19" s="13" t="n">
        <f aca="false">COUNTIF('QV-10'!L:L,"PASS")</f>
        <v>0</v>
      </c>
      <c r="J19" s="13" t="n">
        <f aca="false">COUNTIF('QV-10'!L:L,"WARNING")</f>
        <v>0</v>
      </c>
      <c r="K19" s="13" t="n">
        <f aca="false">COUNTIF('QV-10'!L:L,"FAIL")</f>
        <v>0</v>
      </c>
      <c r="L19" s="13" t="n">
        <f aca="false">COUNTIF('QV-10'!L:L,"DRAFT")</f>
        <v>15</v>
      </c>
      <c r="M19" s="13" t="str">
        <f aca="false">IF(I19+J19+K19+L19=0,"—",TEXT((I19)/15,"0%"))</f>
        <v>0%</v>
      </c>
    </row>
    <row r="20" customFormat="false" ht="18" hidden="false" customHeight="true" outlineLevel="0" collapsed="false">
      <c r="A20" s="13" t="n">
        <v>16</v>
      </c>
      <c r="B20" s="14" t="s">
        <v>39</v>
      </c>
      <c r="C20" s="15" t="s">
        <v>42</v>
      </c>
      <c r="D20" s="16" t="s">
        <v>89</v>
      </c>
      <c r="E20" s="13" t="n">
        <v>15</v>
      </c>
      <c r="F20" s="16" t="s">
        <v>90</v>
      </c>
      <c r="G20" s="16" t="s">
        <v>36</v>
      </c>
      <c r="H20" s="16" t="s">
        <v>91</v>
      </c>
      <c r="I20" s="13" t="n">
        <f aca="false">COUNTIF('QV-11'!L:L,"PASS")</f>
        <v>0</v>
      </c>
      <c r="J20" s="13" t="n">
        <f aca="false">COUNTIF('QV-11'!L:L,"WARNING")</f>
        <v>0</v>
      </c>
      <c r="K20" s="13" t="n">
        <f aca="false">COUNTIF('QV-11'!L:L,"FAIL")</f>
        <v>0</v>
      </c>
      <c r="L20" s="13" t="n">
        <f aca="false">COUNTIF('QV-11'!L:L,"DRAFT")</f>
        <v>15</v>
      </c>
      <c r="M20" s="13" t="str">
        <f aca="false">IF(I20+J20+K20+L20=0,"—",TEXT((I20)/15,"0%"))</f>
        <v>0%</v>
      </c>
    </row>
    <row r="21" customFormat="false" ht="18" hidden="false" customHeight="true" outlineLevel="0" collapsed="false">
      <c r="A21" s="13" t="n">
        <v>17</v>
      </c>
      <c r="B21" s="14" t="s">
        <v>50</v>
      </c>
      <c r="C21" s="15" t="s">
        <v>42</v>
      </c>
      <c r="D21" s="16" t="s">
        <v>92</v>
      </c>
      <c r="E21" s="13" t="n">
        <v>15</v>
      </c>
      <c r="F21" s="16" t="s">
        <v>93</v>
      </c>
      <c r="G21" s="16" t="s">
        <v>94</v>
      </c>
      <c r="H21" s="16" t="s">
        <v>95</v>
      </c>
      <c r="I21" s="13" t="n">
        <f aca="false">COUNTIF('QV-12'!L:L,"PASS")</f>
        <v>0</v>
      </c>
      <c r="J21" s="13" t="n">
        <f aca="false">COUNTIF('QV-12'!L:L,"WARNING")</f>
        <v>0</v>
      </c>
      <c r="K21" s="13" t="n">
        <f aca="false">COUNTIF('QV-12'!L:L,"FAIL")</f>
        <v>0</v>
      </c>
      <c r="L21" s="13" t="n">
        <f aca="false">COUNTIF('QV-12'!L:L,"DRAFT")</f>
        <v>15</v>
      </c>
      <c r="M21" s="13" t="str">
        <f aca="false">IF(I21+J21+K21+L21=0,"—",TEXT((I21)/15,"0%"))</f>
        <v>0%</v>
      </c>
    </row>
    <row r="22" customFormat="false" ht="18" hidden="false" customHeight="true" outlineLevel="0" collapsed="false">
      <c r="A22" s="13" t="n">
        <v>18</v>
      </c>
      <c r="B22" s="14" t="s">
        <v>34</v>
      </c>
      <c r="C22" s="15" t="s">
        <v>42</v>
      </c>
      <c r="D22" s="16" t="s">
        <v>96</v>
      </c>
      <c r="E22" s="13" t="n">
        <v>15</v>
      </c>
      <c r="F22" s="16" t="s">
        <v>97</v>
      </c>
      <c r="G22" s="16" t="s">
        <v>98</v>
      </c>
      <c r="H22" s="16" t="s">
        <v>99</v>
      </c>
      <c r="I22" s="13" t="n">
        <f aca="false">COUNTIF('QV-13'!L:L,"PASS")</f>
        <v>0</v>
      </c>
      <c r="J22" s="13" t="n">
        <f aca="false">COUNTIF('QV-13'!L:L,"WARNING")</f>
        <v>0</v>
      </c>
      <c r="K22" s="13" t="n">
        <f aca="false">COUNTIF('QV-13'!L:L,"FAIL")</f>
        <v>0</v>
      </c>
      <c r="L22" s="13" t="n">
        <f aca="false">COUNTIF('QV-13'!L:L,"DRAFT")</f>
        <v>15</v>
      </c>
      <c r="M22" s="13" t="str">
        <f aca="false">IF(I22+J22+K22+L22=0,"—",TEXT((I22)/15,"0%"))</f>
        <v>0%</v>
      </c>
    </row>
    <row r="23" customFormat="false" ht="18" hidden="false" customHeight="true" outlineLevel="0" collapsed="false">
      <c r="A23" s="13" t="n">
        <v>19</v>
      </c>
      <c r="B23" s="14" t="s">
        <v>100</v>
      </c>
      <c r="C23" s="15" t="s">
        <v>42</v>
      </c>
      <c r="D23" s="16" t="s">
        <v>101</v>
      </c>
      <c r="E23" s="13" t="n">
        <v>15</v>
      </c>
      <c r="F23" s="16" t="s">
        <v>102</v>
      </c>
      <c r="G23" s="16" t="s">
        <v>103</v>
      </c>
      <c r="H23" s="16" t="s">
        <v>104</v>
      </c>
      <c r="I23" s="13" t="n">
        <f aca="false">COUNTIF('QV-14'!L:L,"PASS")</f>
        <v>0</v>
      </c>
      <c r="J23" s="13" t="n">
        <f aca="false">COUNTIF('QV-14'!L:L,"WARNING")</f>
        <v>0</v>
      </c>
      <c r="K23" s="13" t="n">
        <f aca="false">COUNTIF('QV-14'!L:L,"FAIL")</f>
        <v>0</v>
      </c>
      <c r="L23" s="13" t="n">
        <f aca="false">COUNTIF('QV-14'!L:L,"DRAFT")</f>
        <v>15</v>
      </c>
      <c r="M23" s="13" t="str">
        <f aca="false">IF(I23+J23+K23+L23=0,"—",TEXT((I23)/15,"0%"))</f>
        <v>0%</v>
      </c>
    </row>
    <row r="24" customFormat="false" ht="18" hidden="false" customHeight="true" outlineLevel="0" collapsed="false">
      <c r="A24" s="13" t="n">
        <v>20</v>
      </c>
      <c r="B24" s="14" t="s">
        <v>105</v>
      </c>
      <c r="C24" s="15" t="s">
        <v>42</v>
      </c>
      <c r="D24" s="16" t="s">
        <v>106</v>
      </c>
      <c r="E24" s="13" t="n">
        <v>15</v>
      </c>
      <c r="F24" s="16" t="s">
        <v>107</v>
      </c>
      <c r="G24" s="16" t="s">
        <v>108</v>
      </c>
      <c r="H24" s="16" t="s">
        <v>109</v>
      </c>
      <c r="I24" s="13" t="n">
        <f aca="false">COUNTIF('QV-15'!L:L,"PASS")</f>
        <v>0</v>
      </c>
      <c r="J24" s="13" t="n">
        <f aca="false">COUNTIF('QV-15'!L:L,"WARNING")</f>
        <v>0</v>
      </c>
      <c r="K24" s="13" t="n">
        <f aca="false">COUNTIF('QV-15'!L:L,"FAIL")</f>
        <v>0</v>
      </c>
      <c r="L24" s="13" t="n">
        <f aca="false">COUNTIF('QV-15'!L:L,"DRAFT")</f>
        <v>15</v>
      </c>
      <c r="M24" s="13" t="str">
        <f aca="false">IF(I24+J24+K24+L24=0,"—",TEXT((I24)/15,"0%"))</f>
        <v>0%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17" t="s">
        <v>110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15.75" hidden="false" customHeight="true" outlineLevel="0" collapsed="false">
      <c r="A2" s="18" t="s">
        <v>111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30" hidden="false" customHeight="true" outlineLevel="0" collapsed="false">
      <c r="A3" s="19" t="s">
        <v>112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6" hidden="false" customHeight="true" outlineLevel="0" collapsed="false"/>
    <row r="5" customFormat="false" ht="19.5" hidden="false" customHeight="true" outlineLevel="0" collapsed="false">
      <c r="A5" s="20" t="s">
        <v>113</v>
      </c>
      <c r="B5" s="20" t="s">
        <v>114</v>
      </c>
      <c r="C5" s="20" t="s">
        <v>115</v>
      </c>
      <c r="D5" s="20" t="s">
        <v>116</v>
      </c>
      <c r="E5" s="20" t="s">
        <v>117</v>
      </c>
      <c r="F5" s="20" t="s">
        <v>118</v>
      </c>
      <c r="G5" s="20" t="s">
        <v>119</v>
      </c>
      <c r="H5" s="20" t="s">
        <v>120</v>
      </c>
      <c r="I5" s="20" t="s">
        <v>121</v>
      </c>
      <c r="J5" s="20" t="s">
        <v>122</v>
      </c>
      <c r="K5" s="20" t="s">
        <v>123</v>
      </c>
      <c r="L5" s="20" t="s">
        <v>124</v>
      </c>
    </row>
    <row r="6" customFormat="false" ht="18" hidden="false" customHeight="true" outlineLevel="0" collapsed="false">
      <c r="A6" s="21" t="s">
        <v>125</v>
      </c>
      <c r="B6" s="22" t="s">
        <v>126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27" t="s">
        <v>128</v>
      </c>
      <c r="B7" s="28" t="s">
        <v>126</v>
      </c>
      <c r="C7" s="29"/>
      <c r="D7" s="30"/>
      <c r="E7" s="31"/>
      <c r="F7" s="31"/>
      <c r="G7" s="31"/>
      <c r="H7" s="31"/>
      <c r="I7" s="31"/>
      <c r="J7" s="30"/>
      <c r="K7" s="31"/>
      <c r="L7" s="32" t="s">
        <v>127</v>
      </c>
    </row>
    <row r="8" customFormat="false" ht="18" hidden="false" customHeight="true" outlineLevel="0" collapsed="false">
      <c r="A8" s="21" t="s">
        <v>129</v>
      </c>
      <c r="B8" s="22" t="s">
        <v>126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27" t="s">
        <v>130</v>
      </c>
      <c r="B9" s="28" t="s">
        <v>126</v>
      </c>
      <c r="C9" s="29"/>
      <c r="D9" s="30"/>
      <c r="E9" s="31"/>
      <c r="F9" s="31"/>
      <c r="G9" s="31"/>
      <c r="H9" s="31"/>
      <c r="I9" s="31"/>
      <c r="J9" s="30"/>
      <c r="K9" s="31"/>
      <c r="L9" s="32" t="s">
        <v>127</v>
      </c>
    </row>
    <row r="10" customFormat="false" ht="18" hidden="false" customHeight="true" outlineLevel="0" collapsed="false">
      <c r="A10" s="21" t="s">
        <v>131</v>
      </c>
      <c r="B10" s="22" t="s">
        <v>126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27" t="s">
        <v>132</v>
      </c>
      <c r="B11" s="28" t="s">
        <v>126</v>
      </c>
      <c r="C11" s="29"/>
      <c r="D11" s="30"/>
      <c r="E11" s="31"/>
      <c r="F11" s="31"/>
      <c r="G11" s="31"/>
      <c r="H11" s="31"/>
      <c r="I11" s="31"/>
      <c r="J11" s="30"/>
      <c r="K11" s="31"/>
      <c r="L11" s="32" t="s">
        <v>127</v>
      </c>
    </row>
    <row r="12" customFormat="false" ht="18" hidden="false" customHeight="true" outlineLevel="0" collapsed="false">
      <c r="A12" s="21" t="s">
        <v>133</v>
      </c>
      <c r="B12" s="22" t="s">
        <v>126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27" t="s">
        <v>134</v>
      </c>
      <c r="B13" s="28" t="s">
        <v>126</v>
      </c>
      <c r="C13" s="29"/>
      <c r="D13" s="30"/>
      <c r="E13" s="31"/>
      <c r="F13" s="31"/>
      <c r="G13" s="31"/>
      <c r="H13" s="31"/>
      <c r="I13" s="31"/>
      <c r="J13" s="30"/>
      <c r="K13" s="31"/>
      <c r="L13" s="32" t="s">
        <v>127</v>
      </c>
    </row>
    <row r="14" customFormat="false" ht="15.75" hidden="false" customHeight="true" outlineLevel="0" collapsed="false">
      <c r="A14" s="33" t="s">
        <v>135</v>
      </c>
      <c r="B14" s="33"/>
      <c r="C14" s="33"/>
      <c r="D14" s="33"/>
      <c r="I14" s="34" t="n">
        <f aca="false">COUNTIF(I6:I13,"PASS")</f>
        <v>0</v>
      </c>
      <c r="J14" s="34" t="n">
        <f aca="false">COUNTIF(J6:J13,"WARNING")</f>
        <v>0</v>
      </c>
      <c r="K14" s="34" t="n">
        <f aca="false">COUNTIF(K6:K13,"FAIL")</f>
        <v>0</v>
      </c>
      <c r="L14" s="34" t="n">
        <f aca="false">COUNTIF(L6:L13,"DRAFT")</f>
        <v>8</v>
      </c>
    </row>
  </sheetData>
  <mergeCells count="4">
    <mergeCell ref="A1:L1"/>
    <mergeCell ref="A2:L2"/>
    <mergeCell ref="A3:L3"/>
    <mergeCell ref="A14:D14"/>
  </mergeCells>
  <dataValidations count="1">
    <dataValidation allowBlank="true" errorStyle="stop" operator="between" showDropDown="false" showErrorMessage="false" showInputMessage="false" sqref="L6:L13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17" t="s">
        <v>136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15.75" hidden="false" customHeight="true" outlineLevel="0" collapsed="false">
      <c r="A2" s="18" t="s">
        <v>137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30" hidden="false" customHeight="true" outlineLevel="0" collapsed="false">
      <c r="A3" s="35" t="s">
        <v>138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customFormat="false" ht="6" hidden="false" customHeight="true" outlineLevel="0" collapsed="false"/>
    <row r="5" customFormat="false" ht="19.5" hidden="false" customHeight="true" outlineLevel="0" collapsed="false">
      <c r="A5" s="20" t="s">
        <v>113</v>
      </c>
      <c r="B5" s="20" t="s">
        <v>114</v>
      </c>
      <c r="C5" s="20" t="s">
        <v>115</v>
      </c>
      <c r="D5" s="20" t="s">
        <v>116</v>
      </c>
      <c r="E5" s="20" t="s">
        <v>117</v>
      </c>
      <c r="F5" s="20" t="s">
        <v>118</v>
      </c>
      <c r="G5" s="20" t="s">
        <v>119</v>
      </c>
      <c r="H5" s="20" t="s">
        <v>120</v>
      </c>
      <c r="I5" s="20" t="s">
        <v>121</v>
      </c>
      <c r="J5" s="20" t="s">
        <v>122</v>
      </c>
      <c r="K5" s="20" t="s">
        <v>123</v>
      </c>
      <c r="L5" s="20" t="s">
        <v>124</v>
      </c>
    </row>
    <row r="6" customFormat="false" ht="18" hidden="false" customHeight="true" outlineLevel="0" collapsed="false">
      <c r="A6" s="21" t="s">
        <v>139</v>
      </c>
      <c r="B6" s="22" t="s">
        <v>140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27" t="s">
        <v>141</v>
      </c>
      <c r="B7" s="28" t="s">
        <v>140</v>
      </c>
      <c r="C7" s="29"/>
      <c r="D7" s="30"/>
      <c r="E7" s="31"/>
      <c r="F7" s="31"/>
      <c r="G7" s="31"/>
      <c r="H7" s="31"/>
      <c r="I7" s="31"/>
      <c r="J7" s="30"/>
      <c r="K7" s="31"/>
      <c r="L7" s="32" t="s">
        <v>127</v>
      </c>
    </row>
    <row r="8" customFormat="false" ht="18" hidden="false" customHeight="true" outlineLevel="0" collapsed="false">
      <c r="A8" s="21" t="s">
        <v>142</v>
      </c>
      <c r="B8" s="22" t="s">
        <v>140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27" t="s">
        <v>143</v>
      </c>
      <c r="B9" s="28" t="s">
        <v>140</v>
      </c>
      <c r="C9" s="29"/>
      <c r="D9" s="30"/>
      <c r="E9" s="31"/>
      <c r="F9" s="31"/>
      <c r="G9" s="31"/>
      <c r="H9" s="31"/>
      <c r="I9" s="31"/>
      <c r="J9" s="30"/>
      <c r="K9" s="31"/>
      <c r="L9" s="32" t="s">
        <v>127</v>
      </c>
    </row>
    <row r="10" customFormat="false" ht="18" hidden="false" customHeight="true" outlineLevel="0" collapsed="false">
      <c r="A10" s="21" t="s">
        <v>144</v>
      </c>
      <c r="B10" s="22" t="s">
        <v>140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27" t="s">
        <v>145</v>
      </c>
      <c r="B11" s="28" t="s">
        <v>140</v>
      </c>
      <c r="C11" s="29"/>
      <c r="D11" s="30"/>
      <c r="E11" s="31"/>
      <c r="F11" s="31"/>
      <c r="G11" s="31"/>
      <c r="H11" s="31"/>
      <c r="I11" s="31"/>
      <c r="J11" s="30"/>
      <c r="K11" s="31"/>
      <c r="L11" s="32" t="s">
        <v>127</v>
      </c>
    </row>
    <row r="12" customFormat="false" ht="18" hidden="false" customHeight="true" outlineLevel="0" collapsed="false">
      <c r="A12" s="21" t="s">
        <v>146</v>
      </c>
      <c r="B12" s="22" t="s">
        <v>140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27" t="s">
        <v>147</v>
      </c>
      <c r="B13" s="28" t="s">
        <v>140</v>
      </c>
      <c r="C13" s="29"/>
      <c r="D13" s="30"/>
      <c r="E13" s="31"/>
      <c r="F13" s="31"/>
      <c r="G13" s="31"/>
      <c r="H13" s="31"/>
      <c r="I13" s="31"/>
      <c r="J13" s="30"/>
      <c r="K13" s="31"/>
      <c r="L13" s="32" t="s">
        <v>127</v>
      </c>
    </row>
    <row r="14" customFormat="false" ht="15.75" hidden="false" customHeight="true" outlineLevel="0" collapsed="false">
      <c r="A14" s="33" t="s">
        <v>135</v>
      </c>
      <c r="B14" s="33"/>
      <c r="C14" s="33"/>
      <c r="D14" s="33"/>
      <c r="I14" s="34" t="n">
        <f aca="false">COUNTIF(I6:I13,"PASS")</f>
        <v>0</v>
      </c>
      <c r="J14" s="34" t="n">
        <f aca="false">COUNTIF(J6:J13,"WARNING")</f>
        <v>0</v>
      </c>
      <c r="K14" s="34" t="n">
        <f aca="false">COUNTIF(K6:K13,"FAIL")</f>
        <v>0</v>
      </c>
      <c r="L14" s="34" t="n">
        <f aca="false">COUNTIF(L6:L13,"DRAFT")</f>
        <v>8</v>
      </c>
    </row>
  </sheetData>
  <mergeCells count="4">
    <mergeCell ref="A1:L1"/>
    <mergeCell ref="A2:L2"/>
    <mergeCell ref="A3:L3"/>
    <mergeCell ref="A14:D14"/>
  </mergeCells>
  <dataValidations count="1">
    <dataValidation allowBlank="true" errorStyle="stop" operator="between" showDropDown="false" showErrorMessage="false" showInputMessage="false" sqref="L6:L13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36" t="s">
        <v>148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customFormat="false" ht="15.75" hidden="false" customHeight="true" outlineLevel="0" collapsed="false">
      <c r="A2" s="37" t="s">
        <v>149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customFormat="false" ht="30" hidden="false" customHeight="true" outlineLevel="0" collapsed="false">
      <c r="A3" s="38" t="s">
        <v>150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customFormat="false" ht="6" hidden="false" customHeight="true" outlineLevel="0" collapsed="false"/>
    <row r="5" customFormat="false" ht="19.5" hidden="false" customHeight="true" outlineLevel="0" collapsed="false">
      <c r="A5" s="39" t="s">
        <v>113</v>
      </c>
      <c r="B5" s="39" t="s">
        <v>114</v>
      </c>
      <c r="C5" s="39" t="s">
        <v>115</v>
      </c>
      <c r="D5" s="39" t="s">
        <v>116</v>
      </c>
      <c r="E5" s="39" t="s">
        <v>117</v>
      </c>
      <c r="F5" s="39" t="s">
        <v>118</v>
      </c>
      <c r="G5" s="39" t="s">
        <v>119</v>
      </c>
      <c r="H5" s="39" t="s">
        <v>120</v>
      </c>
      <c r="I5" s="39" t="s">
        <v>121</v>
      </c>
      <c r="J5" s="39" t="s">
        <v>122</v>
      </c>
      <c r="K5" s="39" t="s">
        <v>123</v>
      </c>
      <c r="L5" s="39" t="s">
        <v>124</v>
      </c>
    </row>
    <row r="6" customFormat="false" ht="18" hidden="false" customHeight="true" outlineLevel="0" collapsed="false">
      <c r="A6" s="21" t="s">
        <v>151</v>
      </c>
      <c r="B6" s="22" t="s">
        <v>152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40" t="s">
        <v>153</v>
      </c>
      <c r="B7" s="41" t="s">
        <v>152</v>
      </c>
      <c r="C7" s="42"/>
      <c r="D7" s="43"/>
      <c r="E7" s="44"/>
      <c r="F7" s="44"/>
      <c r="G7" s="44"/>
      <c r="H7" s="44"/>
      <c r="I7" s="44"/>
      <c r="J7" s="43"/>
      <c r="K7" s="44"/>
      <c r="L7" s="45" t="s">
        <v>127</v>
      </c>
    </row>
    <row r="8" customFormat="false" ht="18" hidden="false" customHeight="true" outlineLevel="0" collapsed="false">
      <c r="A8" s="21" t="s">
        <v>154</v>
      </c>
      <c r="B8" s="22" t="s">
        <v>152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40" t="s">
        <v>155</v>
      </c>
      <c r="B9" s="41" t="s">
        <v>152</v>
      </c>
      <c r="C9" s="42"/>
      <c r="D9" s="43"/>
      <c r="E9" s="44"/>
      <c r="F9" s="44"/>
      <c r="G9" s="44"/>
      <c r="H9" s="44"/>
      <c r="I9" s="44"/>
      <c r="J9" s="43"/>
      <c r="K9" s="44"/>
      <c r="L9" s="45" t="s">
        <v>127</v>
      </c>
    </row>
    <row r="10" customFormat="false" ht="18" hidden="false" customHeight="true" outlineLevel="0" collapsed="false">
      <c r="A10" s="21" t="s">
        <v>156</v>
      </c>
      <c r="B10" s="22" t="s">
        <v>152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40" t="s">
        <v>157</v>
      </c>
      <c r="B11" s="41" t="s">
        <v>152</v>
      </c>
      <c r="C11" s="42"/>
      <c r="D11" s="43"/>
      <c r="E11" s="44"/>
      <c r="F11" s="44"/>
      <c r="G11" s="44"/>
      <c r="H11" s="44"/>
      <c r="I11" s="44"/>
      <c r="J11" s="43"/>
      <c r="K11" s="44"/>
      <c r="L11" s="45" t="s">
        <v>127</v>
      </c>
    </row>
    <row r="12" customFormat="false" ht="18" hidden="false" customHeight="true" outlineLevel="0" collapsed="false">
      <c r="A12" s="21" t="s">
        <v>158</v>
      </c>
      <c r="B12" s="22" t="s">
        <v>152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40" t="s">
        <v>159</v>
      </c>
      <c r="B13" s="41" t="s">
        <v>152</v>
      </c>
      <c r="C13" s="42"/>
      <c r="D13" s="43"/>
      <c r="E13" s="44"/>
      <c r="F13" s="44"/>
      <c r="G13" s="44"/>
      <c r="H13" s="44"/>
      <c r="I13" s="44"/>
      <c r="J13" s="43"/>
      <c r="K13" s="44"/>
      <c r="L13" s="45" t="s">
        <v>127</v>
      </c>
    </row>
    <row r="14" customFormat="false" ht="18" hidden="false" customHeight="true" outlineLevel="0" collapsed="false">
      <c r="A14" s="21" t="s">
        <v>160</v>
      </c>
      <c r="B14" s="22" t="s">
        <v>152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40" t="s">
        <v>161</v>
      </c>
      <c r="B15" s="41" t="s">
        <v>152</v>
      </c>
      <c r="C15" s="42"/>
      <c r="D15" s="43"/>
      <c r="E15" s="44"/>
      <c r="F15" s="44"/>
      <c r="G15" s="44"/>
      <c r="H15" s="44"/>
      <c r="I15" s="44"/>
      <c r="J15" s="43"/>
      <c r="K15" s="44"/>
      <c r="L15" s="45" t="s">
        <v>127</v>
      </c>
    </row>
    <row r="16" customFormat="false" ht="18" hidden="false" customHeight="true" outlineLevel="0" collapsed="false">
      <c r="A16" s="21" t="s">
        <v>162</v>
      </c>
      <c r="B16" s="22" t="s">
        <v>152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40" t="s">
        <v>163</v>
      </c>
      <c r="B17" s="41" t="s">
        <v>152</v>
      </c>
      <c r="C17" s="42"/>
      <c r="D17" s="43"/>
      <c r="E17" s="44"/>
      <c r="F17" s="44"/>
      <c r="G17" s="44"/>
      <c r="H17" s="44"/>
      <c r="I17" s="44"/>
      <c r="J17" s="43"/>
      <c r="K17" s="44"/>
      <c r="L17" s="45" t="s">
        <v>127</v>
      </c>
    </row>
    <row r="18" customFormat="false" ht="15.75" hidden="false" customHeight="true" outlineLevel="0" collapsed="false">
      <c r="A18" s="46" t="s">
        <v>164</v>
      </c>
      <c r="B18" s="46"/>
      <c r="C18" s="46"/>
      <c r="D18" s="46"/>
      <c r="I18" s="47" t="n">
        <f aca="false">COUNTIF(I6:I17,"PASS")</f>
        <v>0</v>
      </c>
      <c r="J18" s="47" t="n">
        <f aca="false">COUNTIF(J6:J17,"WARNING")</f>
        <v>0</v>
      </c>
      <c r="K18" s="47" t="n">
        <f aca="false">COUNTIF(K6:K17,"FAIL")</f>
        <v>0</v>
      </c>
      <c r="L18" s="47" t="n">
        <f aca="false">COUNTIF(L6:L17,"DRAFT")</f>
        <v>12</v>
      </c>
    </row>
  </sheetData>
  <mergeCells count="4">
    <mergeCell ref="A1:L1"/>
    <mergeCell ref="A2:L2"/>
    <mergeCell ref="A3:L3"/>
    <mergeCell ref="A18:D18"/>
  </mergeCells>
  <dataValidations count="1">
    <dataValidation allowBlank="true" errorStyle="stop" operator="between" showDropDown="false" showErrorMessage="false" showInputMessage="false" sqref="L6:L17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36" t="s">
        <v>165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customFormat="false" ht="15.75" hidden="false" customHeight="true" outlineLevel="0" collapsed="false">
      <c r="A2" s="37" t="s">
        <v>166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customFormat="false" ht="30" hidden="false" customHeight="true" outlineLevel="0" collapsed="false">
      <c r="A3" s="35" t="s">
        <v>167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customFormat="false" ht="6" hidden="false" customHeight="true" outlineLevel="0" collapsed="false"/>
    <row r="5" customFormat="false" ht="19.5" hidden="false" customHeight="true" outlineLevel="0" collapsed="false">
      <c r="A5" s="39" t="s">
        <v>113</v>
      </c>
      <c r="B5" s="39" t="s">
        <v>114</v>
      </c>
      <c r="C5" s="39" t="s">
        <v>115</v>
      </c>
      <c r="D5" s="39" t="s">
        <v>116</v>
      </c>
      <c r="E5" s="39" t="s">
        <v>117</v>
      </c>
      <c r="F5" s="39" t="s">
        <v>118</v>
      </c>
      <c r="G5" s="39" t="s">
        <v>119</v>
      </c>
      <c r="H5" s="39" t="s">
        <v>120</v>
      </c>
      <c r="I5" s="39" t="s">
        <v>121</v>
      </c>
      <c r="J5" s="39" t="s">
        <v>122</v>
      </c>
      <c r="K5" s="39" t="s">
        <v>123</v>
      </c>
      <c r="L5" s="39" t="s">
        <v>124</v>
      </c>
    </row>
    <row r="6" customFormat="false" ht="18" hidden="false" customHeight="true" outlineLevel="0" collapsed="false">
      <c r="A6" s="21" t="s">
        <v>168</v>
      </c>
      <c r="B6" s="22" t="s">
        <v>169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40" t="s">
        <v>170</v>
      </c>
      <c r="B7" s="41" t="s">
        <v>169</v>
      </c>
      <c r="C7" s="42"/>
      <c r="D7" s="43"/>
      <c r="E7" s="44"/>
      <c r="F7" s="44"/>
      <c r="G7" s="44"/>
      <c r="H7" s="44"/>
      <c r="I7" s="44"/>
      <c r="J7" s="43"/>
      <c r="K7" s="44"/>
      <c r="L7" s="45" t="s">
        <v>127</v>
      </c>
    </row>
    <row r="8" customFormat="false" ht="18" hidden="false" customHeight="true" outlineLevel="0" collapsed="false">
      <c r="A8" s="21" t="s">
        <v>171</v>
      </c>
      <c r="B8" s="22" t="s">
        <v>169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40" t="s">
        <v>172</v>
      </c>
      <c r="B9" s="41" t="s">
        <v>169</v>
      </c>
      <c r="C9" s="42"/>
      <c r="D9" s="43"/>
      <c r="E9" s="44"/>
      <c r="F9" s="44"/>
      <c r="G9" s="44"/>
      <c r="H9" s="44"/>
      <c r="I9" s="44"/>
      <c r="J9" s="43"/>
      <c r="K9" s="44"/>
      <c r="L9" s="45" t="s">
        <v>127</v>
      </c>
    </row>
    <row r="10" customFormat="false" ht="18" hidden="false" customHeight="true" outlineLevel="0" collapsed="false">
      <c r="A10" s="21" t="s">
        <v>173</v>
      </c>
      <c r="B10" s="22" t="s">
        <v>169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40" t="s">
        <v>174</v>
      </c>
      <c r="B11" s="41" t="s">
        <v>169</v>
      </c>
      <c r="C11" s="42"/>
      <c r="D11" s="43"/>
      <c r="E11" s="44"/>
      <c r="F11" s="44"/>
      <c r="G11" s="44"/>
      <c r="H11" s="44"/>
      <c r="I11" s="44"/>
      <c r="J11" s="43"/>
      <c r="K11" s="44"/>
      <c r="L11" s="45" t="s">
        <v>127</v>
      </c>
    </row>
    <row r="12" customFormat="false" ht="18" hidden="false" customHeight="true" outlineLevel="0" collapsed="false">
      <c r="A12" s="21" t="s">
        <v>175</v>
      </c>
      <c r="B12" s="22" t="s">
        <v>169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40" t="s">
        <v>176</v>
      </c>
      <c r="B13" s="41" t="s">
        <v>169</v>
      </c>
      <c r="C13" s="42"/>
      <c r="D13" s="43"/>
      <c r="E13" s="44"/>
      <c r="F13" s="44"/>
      <c r="G13" s="44"/>
      <c r="H13" s="44"/>
      <c r="I13" s="44"/>
      <c r="J13" s="43"/>
      <c r="K13" s="44"/>
      <c r="L13" s="45" t="s">
        <v>127</v>
      </c>
    </row>
    <row r="14" customFormat="false" ht="18" hidden="false" customHeight="true" outlineLevel="0" collapsed="false">
      <c r="A14" s="21" t="s">
        <v>177</v>
      </c>
      <c r="B14" s="22" t="s">
        <v>169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40" t="s">
        <v>178</v>
      </c>
      <c r="B15" s="41" t="s">
        <v>169</v>
      </c>
      <c r="C15" s="42"/>
      <c r="D15" s="43"/>
      <c r="E15" s="44"/>
      <c r="F15" s="44"/>
      <c r="G15" s="44"/>
      <c r="H15" s="44"/>
      <c r="I15" s="44"/>
      <c r="J15" s="43"/>
      <c r="K15" s="44"/>
      <c r="L15" s="45" t="s">
        <v>127</v>
      </c>
    </row>
    <row r="16" customFormat="false" ht="18" hidden="false" customHeight="true" outlineLevel="0" collapsed="false">
      <c r="A16" s="21" t="s">
        <v>179</v>
      </c>
      <c r="B16" s="22" t="s">
        <v>169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40" t="s">
        <v>180</v>
      </c>
      <c r="B17" s="41" t="s">
        <v>169</v>
      </c>
      <c r="C17" s="42"/>
      <c r="D17" s="43"/>
      <c r="E17" s="44"/>
      <c r="F17" s="44"/>
      <c r="G17" s="44"/>
      <c r="H17" s="44"/>
      <c r="I17" s="44"/>
      <c r="J17" s="43"/>
      <c r="K17" s="44"/>
      <c r="L17" s="45" t="s">
        <v>127</v>
      </c>
    </row>
    <row r="18" customFormat="false" ht="15.75" hidden="false" customHeight="true" outlineLevel="0" collapsed="false">
      <c r="A18" s="46" t="s">
        <v>164</v>
      </c>
      <c r="B18" s="46"/>
      <c r="C18" s="46"/>
      <c r="D18" s="46"/>
      <c r="I18" s="47" t="n">
        <f aca="false">COUNTIF(I6:I17,"PASS")</f>
        <v>0</v>
      </c>
      <c r="J18" s="47" t="n">
        <f aca="false">COUNTIF(J6:J17,"WARNING")</f>
        <v>0</v>
      </c>
      <c r="K18" s="47" t="n">
        <f aca="false">COUNTIF(K6:K17,"FAIL")</f>
        <v>0</v>
      </c>
      <c r="L18" s="47" t="n">
        <f aca="false">COUNTIF(L6:L17,"DRAFT")</f>
        <v>12</v>
      </c>
    </row>
  </sheetData>
  <mergeCells count="4">
    <mergeCell ref="A1:L1"/>
    <mergeCell ref="A2:L2"/>
    <mergeCell ref="A3:L3"/>
    <mergeCell ref="A18:D18"/>
  </mergeCells>
  <dataValidations count="1">
    <dataValidation allowBlank="true" errorStyle="stop" operator="between" showDropDown="false" showErrorMessage="false" showInputMessage="false" sqref="L6:L17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36" t="s">
        <v>181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customFormat="false" ht="15.75" hidden="false" customHeight="true" outlineLevel="0" collapsed="false">
      <c r="A2" s="37" t="s">
        <v>182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customFormat="false" ht="30" hidden="false" customHeight="true" outlineLevel="0" collapsed="false">
      <c r="A3" s="38" t="s">
        <v>183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customFormat="false" ht="6" hidden="false" customHeight="true" outlineLevel="0" collapsed="false"/>
    <row r="5" customFormat="false" ht="19.5" hidden="false" customHeight="true" outlineLevel="0" collapsed="false">
      <c r="A5" s="39" t="s">
        <v>113</v>
      </c>
      <c r="B5" s="39" t="s">
        <v>114</v>
      </c>
      <c r="C5" s="39" t="s">
        <v>115</v>
      </c>
      <c r="D5" s="39" t="s">
        <v>116</v>
      </c>
      <c r="E5" s="39" t="s">
        <v>117</v>
      </c>
      <c r="F5" s="39" t="s">
        <v>118</v>
      </c>
      <c r="G5" s="39" t="s">
        <v>119</v>
      </c>
      <c r="H5" s="39" t="s">
        <v>120</v>
      </c>
      <c r="I5" s="39" t="s">
        <v>121</v>
      </c>
      <c r="J5" s="39" t="s">
        <v>122</v>
      </c>
      <c r="K5" s="39" t="s">
        <v>123</v>
      </c>
      <c r="L5" s="39" t="s">
        <v>124</v>
      </c>
    </row>
    <row r="6" customFormat="false" ht="18" hidden="false" customHeight="true" outlineLevel="0" collapsed="false">
      <c r="A6" s="21" t="s">
        <v>184</v>
      </c>
      <c r="B6" s="22" t="s">
        <v>185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40" t="s">
        <v>186</v>
      </c>
      <c r="B7" s="41" t="s">
        <v>185</v>
      </c>
      <c r="C7" s="42"/>
      <c r="D7" s="43"/>
      <c r="E7" s="44"/>
      <c r="F7" s="44"/>
      <c r="G7" s="44"/>
      <c r="H7" s="44"/>
      <c r="I7" s="44"/>
      <c r="J7" s="43"/>
      <c r="K7" s="44"/>
      <c r="L7" s="45" t="s">
        <v>127</v>
      </c>
    </row>
    <row r="8" customFormat="false" ht="18" hidden="false" customHeight="true" outlineLevel="0" collapsed="false">
      <c r="A8" s="21" t="s">
        <v>187</v>
      </c>
      <c r="B8" s="22" t="s">
        <v>185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40" t="s">
        <v>188</v>
      </c>
      <c r="B9" s="41" t="s">
        <v>185</v>
      </c>
      <c r="C9" s="42"/>
      <c r="D9" s="43"/>
      <c r="E9" s="44"/>
      <c r="F9" s="44"/>
      <c r="G9" s="44"/>
      <c r="H9" s="44"/>
      <c r="I9" s="44"/>
      <c r="J9" s="43"/>
      <c r="K9" s="44"/>
      <c r="L9" s="45" t="s">
        <v>127</v>
      </c>
    </row>
    <row r="10" customFormat="false" ht="18" hidden="false" customHeight="true" outlineLevel="0" collapsed="false">
      <c r="A10" s="21" t="s">
        <v>189</v>
      </c>
      <c r="B10" s="22" t="s">
        <v>185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40" t="s">
        <v>190</v>
      </c>
      <c r="B11" s="41" t="s">
        <v>185</v>
      </c>
      <c r="C11" s="42"/>
      <c r="D11" s="43"/>
      <c r="E11" s="44"/>
      <c r="F11" s="44"/>
      <c r="G11" s="44"/>
      <c r="H11" s="44"/>
      <c r="I11" s="44"/>
      <c r="J11" s="43"/>
      <c r="K11" s="44"/>
      <c r="L11" s="45" t="s">
        <v>127</v>
      </c>
    </row>
    <row r="12" customFormat="false" ht="18" hidden="false" customHeight="true" outlineLevel="0" collapsed="false">
      <c r="A12" s="21" t="s">
        <v>191</v>
      </c>
      <c r="B12" s="22" t="s">
        <v>185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40" t="s">
        <v>192</v>
      </c>
      <c r="B13" s="41" t="s">
        <v>185</v>
      </c>
      <c r="C13" s="42"/>
      <c r="D13" s="43"/>
      <c r="E13" s="44"/>
      <c r="F13" s="44"/>
      <c r="G13" s="44"/>
      <c r="H13" s="44"/>
      <c r="I13" s="44"/>
      <c r="J13" s="43"/>
      <c r="K13" s="44"/>
      <c r="L13" s="45" t="s">
        <v>127</v>
      </c>
    </row>
    <row r="14" customFormat="false" ht="18" hidden="false" customHeight="true" outlineLevel="0" collapsed="false">
      <c r="A14" s="21" t="s">
        <v>193</v>
      </c>
      <c r="B14" s="22" t="s">
        <v>185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40" t="s">
        <v>194</v>
      </c>
      <c r="B15" s="41" t="s">
        <v>185</v>
      </c>
      <c r="C15" s="42"/>
      <c r="D15" s="43"/>
      <c r="E15" s="44"/>
      <c r="F15" s="44"/>
      <c r="G15" s="44"/>
      <c r="H15" s="44"/>
      <c r="I15" s="44"/>
      <c r="J15" s="43"/>
      <c r="K15" s="44"/>
      <c r="L15" s="45" t="s">
        <v>127</v>
      </c>
    </row>
    <row r="16" customFormat="false" ht="18" hidden="false" customHeight="true" outlineLevel="0" collapsed="false">
      <c r="A16" s="21" t="s">
        <v>195</v>
      </c>
      <c r="B16" s="22" t="s">
        <v>185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40" t="s">
        <v>196</v>
      </c>
      <c r="B17" s="41" t="s">
        <v>185</v>
      </c>
      <c r="C17" s="42"/>
      <c r="D17" s="43"/>
      <c r="E17" s="44"/>
      <c r="F17" s="44"/>
      <c r="G17" s="44"/>
      <c r="H17" s="44"/>
      <c r="I17" s="44"/>
      <c r="J17" s="43"/>
      <c r="K17" s="44"/>
      <c r="L17" s="45" t="s">
        <v>127</v>
      </c>
    </row>
    <row r="18" customFormat="false" ht="15.75" hidden="false" customHeight="true" outlineLevel="0" collapsed="false">
      <c r="A18" s="46" t="s">
        <v>164</v>
      </c>
      <c r="B18" s="46"/>
      <c r="C18" s="46"/>
      <c r="D18" s="46"/>
      <c r="I18" s="47" t="n">
        <f aca="false">COUNTIF(I6:I17,"PASS")</f>
        <v>0</v>
      </c>
      <c r="J18" s="47" t="n">
        <f aca="false">COUNTIF(J6:J17,"WARNING")</f>
        <v>0</v>
      </c>
      <c r="K18" s="47" t="n">
        <f aca="false">COUNTIF(K6:K17,"FAIL")</f>
        <v>0</v>
      </c>
      <c r="L18" s="47" t="n">
        <f aca="false">COUNTIF(L6:L17,"DRAFT")</f>
        <v>12</v>
      </c>
    </row>
  </sheetData>
  <mergeCells count="4">
    <mergeCell ref="A1:L1"/>
    <mergeCell ref="A2:L2"/>
    <mergeCell ref="A3:L3"/>
    <mergeCell ref="A18:D18"/>
  </mergeCells>
  <dataValidations count="1">
    <dataValidation allowBlank="true" errorStyle="stop" operator="between" showDropDown="false" showErrorMessage="false" showInputMessage="false" sqref="L6:L17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197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198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35" t="s">
        <v>199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200</v>
      </c>
      <c r="B6" s="22" t="s">
        <v>201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202</v>
      </c>
      <c r="B7" s="52" t="s">
        <v>201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203</v>
      </c>
      <c r="B8" s="22" t="s">
        <v>201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204</v>
      </c>
      <c r="B9" s="52" t="s">
        <v>201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205</v>
      </c>
      <c r="B10" s="22" t="s">
        <v>201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206</v>
      </c>
      <c r="B11" s="52" t="s">
        <v>201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207</v>
      </c>
      <c r="B12" s="22" t="s">
        <v>201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208</v>
      </c>
      <c r="B13" s="52" t="s">
        <v>201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209</v>
      </c>
      <c r="B14" s="22" t="s">
        <v>201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210</v>
      </c>
      <c r="B15" s="52" t="s">
        <v>201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211</v>
      </c>
      <c r="B16" s="22" t="s">
        <v>201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212</v>
      </c>
      <c r="B17" s="52" t="s">
        <v>201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213</v>
      </c>
      <c r="B18" s="22" t="s">
        <v>201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214</v>
      </c>
      <c r="B19" s="52" t="s">
        <v>201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215</v>
      </c>
      <c r="B20" s="22" t="s">
        <v>201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217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218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219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220</v>
      </c>
      <c r="B6" s="22" t="s">
        <v>221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222</v>
      </c>
      <c r="B7" s="52" t="s">
        <v>221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223</v>
      </c>
      <c r="B8" s="22" t="s">
        <v>221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224</v>
      </c>
      <c r="B9" s="52" t="s">
        <v>221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225</v>
      </c>
      <c r="B10" s="22" t="s">
        <v>221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226</v>
      </c>
      <c r="B11" s="52" t="s">
        <v>221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227</v>
      </c>
      <c r="B12" s="22" t="s">
        <v>221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228</v>
      </c>
      <c r="B13" s="52" t="s">
        <v>221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229</v>
      </c>
      <c r="B14" s="22" t="s">
        <v>221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230</v>
      </c>
      <c r="B15" s="52" t="s">
        <v>221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231</v>
      </c>
      <c r="B16" s="22" t="s">
        <v>221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232</v>
      </c>
      <c r="B17" s="52" t="s">
        <v>221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233</v>
      </c>
      <c r="B18" s="22" t="s">
        <v>221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234</v>
      </c>
      <c r="B19" s="52" t="s">
        <v>221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235</v>
      </c>
      <c r="B20" s="22" t="s">
        <v>221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236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237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60" t="s">
        <v>238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239</v>
      </c>
      <c r="B6" s="22" t="s">
        <v>240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241</v>
      </c>
      <c r="B7" s="52" t="s">
        <v>240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242</v>
      </c>
      <c r="B8" s="22" t="s">
        <v>240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243</v>
      </c>
      <c r="B9" s="52" t="s">
        <v>240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244</v>
      </c>
      <c r="B10" s="22" t="s">
        <v>240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245</v>
      </c>
      <c r="B11" s="52" t="s">
        <v>240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246</v>
      </c>
      <c r="B12" s="22" t="s">
        <v>240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247</v>
      </c>
      <c r="B13" s="52" t="s">
        <v>240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248</v>
      </c>
      <c r="B14" s="22" t="s">
        <v>240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249</v>
      </c>
      <c r="B15" s="52" t="s">
        <v>240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250</v>
      </c>
      <c r="B16" s="22" t="s">
        <v>240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251</v>
      </c>
      <c r="B17" s="52" t="s">
        <v>240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252</v>
      </c>
      <c r="B18" s="22" t="s">
        <v>240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253</v>
      </c>
      <c r="B19" s="52" t="s">
        <v>240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254</v>
      </c>
      <c r="B20" s="22" t="s">
        <v>240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255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256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257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258</v>
      </c>
      <c r="B6" s="22" t="s">
        <v>259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260</v>
      </c>
      <c r="B7" s="52" t="s">
        <v>259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261</v>
      </c>
      <c r="B8" s="22" t="s">
        <v>259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262</v>
      </c>
      <c r="B9" s="52" t="s">
        <v>259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263</v>
      </c>
      <c r="B10" s="22" t="s">
        <v>259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264</v>
      </c>
      <c r="B11" s="52" t="s">
        <v>259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265</v>
      </c>
      <c r="B12" s="22" t="s">
        <v>259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266</v>
      </c>
      <c r="B13" s="52" t="s">
        <v>259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267</v>
      </c>
      <c r="B14" s="22" t="s">
        <v>259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268</v>
      </c>
      <c r="B15" s="52" t="s">
        <v>259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269</v>
      </c>
      <c r="B16" s="22" t="s">
        <v>259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270</v>
      </c>
      <c r="B17" s="52" t="s">
        <v>259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271</v>
      </c>
      <c r="B18" s="22" t="s">
        <v>259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272</v>
      </c>
      <c r="B19" s="52" t="s">
        <v>259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273</v>
      </c>
      <c r="B20" s="22" t="s">
        <v>259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274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275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276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277</v>
      </c>
      <c r="B6" s="22" t="s">
        <v>278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279</v>
      </c>
      <c r="B7" s="52" t="s">
        <v>278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280</v>
      </c>
      <c r="B8" s="22" t="s">
        <v>278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281</v>
      </c>
      <c r="B9" s="52" t="s">
        <v>278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282</v>
      </c>
      <c r="B10" s="22" t="s">
        <v>278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283</v>
      </c>
      <c r="B11" s="52" t="s">
        <v>278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284</v>
      </c>
      <c r="B12" s="22" t="s">
        <v>278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285</v>
      </c>
      <c r="B13" s="52" t="s">
        <v>278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286</v>
      </c>
      <c r="B14" s="22" t="s">
        <v>278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287</v>
      </c>
      <c r="B15" s="52" t="s">
        <v>278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288</v>
      </c>
      <c r="B16" s="22" t="s">
        <v>278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289</v>
      </c>
      <c r="B17" s="52" t="s">
        <v>278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290</v>
      </c>
      <c r="B18" s="22" t="s">
        <v>278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291</v>
      </c>
      <c r="B19" s="52" t="s">
        <v>278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292</v>
      </c>
      <c r="B20" s="22" t="s">
        <v>278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293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294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295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296</v>
      </c>
      <c r="B6" s="22" t="s">
        <v>297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298</v>
      </c>
      <c r="B7" s="52" t="s">
        <v>297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299</v>
      </c>
      <c r="B8" s="22" t="s">
        <v>297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300</v>
      </c>
      <c r="B9" s="52" t="s">
        <v>297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301</v>
      </c>
      <c r="B10" s="22" t="s">
        <v>297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302</v>
      </c>
      <c r="B11" s="52" t="s">
        <v>297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303</v>
      </c>
      <c r="B12" s="22" t="s">
        <v>297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304</v>
      </c>
      <c r="B13" s="52" t="s">
        <v>297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305</v>
      </c>
      <c r="B14" s="22" t="s">
        <v>297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306</v>
      </c>
      <c r="B15" s="52" t="s">
        <v>297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307</v>
      </c>
      <c r="B16" s="22" t="s">
        <v>297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308</v>
      </c>
      <c r="B17" s="52" t="s">
        <v>297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309</v>
      </c>
      <c r="B18" s="22" t="s">
        <v>297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310</v>
      </c>
      <c r="B19" s="52" t="s">
        <v>297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311</v>
      </c>
      <c r="B20" s="22" t="s">
        <v>297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312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313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35" t="s">
        <v>314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315</v>
      </c>
      <c r="B6" s="22" t="s">
        <v>316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317</v>
      </c>
      <c r="B7" s="52" t="s">
        <v>316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318</v>
      </c>
      <c r="B8" s="22" t="s">
        <v>316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319</v>
      </c>
      <c r="B9" s="52" t="s">
        <v>316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320</v>
      </c>
      <c r="B10" s="22" t="s">
        <v>316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321</v>
      </c>
      <c r="B11" s="52" t="s">
        <v>316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322</v>
      </c>
      <c r="B12" s="22" t="s">
        <v>316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323</v>
      </c>
      <c r="B13" s="52" t="s">
        <v>316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324</v>
      </c>
      <c r="B14" s="22" t="s">
        <v>316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325</v>
      </c>
      <c r="B15" s="52" t="s">
        <v>316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326</v>
      </c>
      <c r="B16" s="22" t="s">
        <v>316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327</v>
      </c>
      <c r="B17" s="52" t="s">
        <v>316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328</v>
      </c>
      <c r="B18" s="22" t="s">
        <v>316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329</v>
      </c>
      <c r="B19" s="52" t="s">
        <v>316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330</v>
      </c>
      <c r="B20" s="22" t="s">
        <v>316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331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332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333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334</v>
      </c>
      <c r="B6" s="22" t="s">
        <v>335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336</v>
      </c>
      <c r="B7" s="52" t="s">
        <v>335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337</v>
      </c>
      <c r="B8" s="22" t="s">
        <v>335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338</v>
      </c>
      <c r="B9" s="52" t="s">
        <v>335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339</v>
      </c>
      <c r="B10" s="22" t="s">
        <v>335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340</v>
      </c>
      <c r="B11" s="52" t="s">
        <v>335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341</v>
      </c>
      <c r="B12" s="22" t="s">
        <v>335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342</v>
      </c>
      <c r="B13" s="52" t="s">
        <v>335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343</v>
      </c>
      <c r="B14" s="22" t="s">
        <v>335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344</v>
      </c>
      <c r="B15" s="52" t="s">
        <v>335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345</v>
      </c>
      <c r="B16" s="22" t="s">
        <v>335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346</v>
      </c>
      <c r="B17" s="52" t="s">
        <v>335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347</v>
      </c>
      <c r="B18" s="22" t="s">
        <v>335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348</v>
      </c>
      <c r="B19" s="52" t="s">
        <v>335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349</v>
      </c>
      <c r="B20" s="22" t="s">
        <v>335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350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351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352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353</v>
      </c>
      <c r="B6" s="22" t="s">
        <v>354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355</v>
      </c>
      <c r="B7" s="52" t="s">
        <v>354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356</v>
      </c>
      <c r="B8" s="22" t="s">
        <v>354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357</v>
      </c>
      <c r="B9" s="52" t="s">
        <v>354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358</v>
      </c>
      <c r="B10" s="22" t="s">
        <v>354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359</v>
      </c>
      <c r="B11" s="52" t="s">
        <v>354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360</v>
      </c>
      <c r="B12" s="22" t="s">
        <v>354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361</v>
      </c>
      <c r="B13" s="52" t="s">
        <v>354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362</v>
      </c>
      <c r="B14" s="22" t="s">
        <v>354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363</v>
      </c>
      <c r="B15" s="52" t="s">
        <v>354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364</v>
      </c>
      <c r="B16" s="22" t="s">
        <v>354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365</v>
      </c>
      <c r="B17" s="52" t="s">
        <v>354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366</v>
      </c>
      <c r="B18" s="22" t="s">
        <v>354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367</v>
      </c>
      <c r="B19" s="52" t="s">
        <v>354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368</v>
      </c>
      <c r="B20" s="22" t="s">
        <v>354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369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370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371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372</v>
      </c>
      <c r="B6" s="22" t="s">
        <v>373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374</v>
      </c>
      <c r="B7" s="52" t="s">
        <v>373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375</v>
      </c>
      <c r="B8" s="22" t="s">
        <v>373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376</v>
      </c>
      <c r="B9" s="52" t="s">
        <v>373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377</v>
      </c>
      <c r="B10" s="22" t="s">
        <v>373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378</v>
      </c>
      <c r="B11" s="52" t="s">
        <v>373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379</v>
      </c>
      <c r="B12" s="22" t="s">
        <v>373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380</v>
      </c>
      <c r="B13" s="52" t="s">
        <v>373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381</v>
      </c>
      <c r="B14" s="22" t="s">
        <v>373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382</v>
      </c>
      <c r="B15" s="52" t="s">
        <v>373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383</v>
      </c>
      <c r="B16" s="22" t="s">
        <v>373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384</v>
      </c>
      <c r="B17" s="52" t="s">
        <v>373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385</v>
      </c>
      <c r="B18" s="22" t="s">
        <v>373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386</v>
      </c>
      <c r="B19" s="52" t="s">
        <v>373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387</v>
      </c>
      <c r="B20" s="22" t="s">
        <v>373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388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389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390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391</v>
      </c>
      <c r="B6" s="22" t="s">
        <v>392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393</v>
      </c>
      <c r="B7" s="52" t="s">
        <v>392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394</v>
      </c>
      <c r="B8" s="22" t="s">
        <v>392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395</v>
      </c>
      <c r="B9" s="52" t="s">
        <v>392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396</v>
      </c>
      <c r="B10" s="22" t="s">
        <v>392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397</v>
      </c>
      <c r="B11" s="52" t="s">
        <v>392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398</v>
      </c>
      <c r="B12" s="22" t="s">
        <v>392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399</v>
      </c>
      <c r="B13" s="52" t="s">
        <v>392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400</v>
      </c>
      <c r="B14" s="22" t="s">
        <v>392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401</v>
      </c>
      <c r="B15" s="52" t="s">
        <v>392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402</v>
      </c>
      <c r="B16" s="22" t="s">
        <v>392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403</v>
      </c>
      <c r="B17" s="52" t="s">
        <v>392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404</v>
      </c>
      <c r="B18" s="22" t="s">
        <v>392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405</v>
      </c>
      <c r="B19" s="52" t="s">
        <v>392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406</v>
      </c>
      <c r="B20" s="22" t="s">
        <v>392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407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408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61" t="s">
        <v>409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410</v>
      </c>
      <c r="B6" s="22" t="s">
        <v>411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412</v>
      </c>
      <c r="B7" s="52" t="s">
        <v>411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413</v>
      </c>
      <c r="B8" s="22" t="s">
        <v>411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414</v>
      </c>
      <c r="B9" s="52" t="s">
        <v>411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415</v>
      </c>
      <c r="B10" s="22" t="s">
        <v>411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416</v>
      </c>
      <c r="B11" s="52" t="s">
        <v>411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417</v>
      </c>
      <c r="B12" s="22" t="s">
        <v>411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418</v>
      </c>
      <c r="B13" s="52" t="s">
        <v>411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419</v>
      </c>
      <c r="B14" s="22" t="s">
        <v>411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420</v>
      </c>
      <c r="B15" s="52" t="s">
        <v>411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421</v>
      </c>
      <c r="B16" s="22" t="s">
        <v>411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422</v>
      </c>
      <c r="B17" s="52" t="s">
        <v>411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423</v>
      </c>
      <c r="B18" s="22" t="s">
        <v>411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424</v>
      </c>
      <c r="B19" s="52" t="s">
        <v>411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62" t="s">
        <v>425</v>
      </c>
      <c r="B20" s="63" t="s">
        <v>411</v>
      </c>
      <c r="C20" s="64" t="s">
        <v>426</v>
      </c>
      <c r="D20" s="65"/>
      <c r="E20" s="25"/>
      <c r="F20" s="25"/>
      <c r="G20" s="25"/>
      <c r="H20" s="25"/>
      <c r="I20" s="25"/>
      <c r="J20" s="65"/>
      <c r="K20" s="25"/>
      <c r="L20" s="6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2">
    <dataValidation allowBlank="true" errorStyle="stop" operator="between" showDropDown="false" showErrorMessage="false" showInputMessage="false" sqref="L6:L19" type="list">
      <formula1>"DRAFT,PASS,WARNING,FAIL"</formula1>
      <formula2>0</formula2>
    </dataValidation>
    <dataValidation allowBlank="true" errorStyle="stop" operator="between" showDropDown="false" showErrorMessage="false" showInputMessage="false" sqref="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427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428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429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430</v>
      </c>
      <c r="B6" s="22" t="s">
        <v>431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432</v>
      </c>
      <c r="B7" s="52" t="s">
        <v>431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433</v>
      </c>
      <c r="B8" s="22" t="s">
        <v>431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434</v>
      </c>
      <c r="B9" s="52" t="s">
        <v>431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435</v>
      </c>
      <c r="B10" s="22" t="s">
        <v>431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436</v>
      </c>
      <c r="B11" s="52" t="s">
        <v>431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437</v>
      </c>
      <c r="B12" s="22" t="s">
        <v>431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438</v>
      </c>
      <c r="B13" s="52" t="s">
        <v>431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439</v>
      </c>
      <c r="B14" s="22" t="s">
        <v>431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440</v>
      </c>
      <c r="B15" s="52" t="s">
        <v>431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441</v>
      </c>
      <c r="B16" s="22" t="s">
        <v>431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442</v>
      </c>
      <c r="B17" s="52" t="s">
        <v>431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443</v>
      </c>
      <c r="B18" s="22" t="s">
        <v>431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444</v>
      </c>
      <c r="B19" s="52" t="s">
        <v>431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445</v>
      </c>
      <c r="B20" s="22" t="s">
        <v>431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446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447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448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449</v>
      </c>
      <c r="B6" s="22" t="s">
        <v>450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451</v>
      </c>
      <c r="B7" s="52" t="s">
        <v>450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452</v>
      </c>
      <c r="B8" s="22" t="s">
        <v>450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453</v>
      </c>
      <c r="B9" s="52" t="s">
        <v>450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454</v>
      </c>
      <c r="B10" s="22" t="s">
        <v>450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455</v>
      </c>
      <c r="B11" s="52" t="s">
        <v>450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456</v>
      </c>
      <c r="B12" s="22" t="s">
        <v>450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457</v>
      </c>
      <c r="B13" s="52" t="s">
        <v>450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458</v>
      </c>
      <c r="B14" s="22" t="s">
        <v>450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459</v>
      </c>
      <c r="B15" s="52" t="s">
        <v>450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460</v>
      </c>
      <c r="B16" s="22" t="s">
        <v>450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461</v>
      </c>
      <c r="B17" s="52" t="s">
        <v>450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462</v>
      </c>
      <c r="B18" s="22" t="s">
        <v>450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463</v>
      </c>
      <c r="B19" s="52" t="s">
        <v>450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464</v>
      </c>
      <c r="B20" s="22" t="s">
        <v>450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55"/>
    <col collapsed="false" customWidth="true" hidden="false" outlineLevel="0" max="9" min="6" style="1" width="28"/>
    <col collapsed="false" customWidth="true" hidden="false" outlineLevel="0" max="10" min="10" style="1" width="12"/>
    <col collapsed="false" customWidth="true" hidden="false" outlineLevel="0" max="11" min="11" style="1" width="2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48" t="s">
        <v>465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customFormat="false" ht="15.75" hidden="false" customHeight="true" outlineLevel="0" collapsed="false">
      <c r="A2" s="49" t="s">
        <v>466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30" hidden="false" customHeight="true" outlineLevel="0" collapsed="false">
      <c r="A3" s="59" t="s">
        <v>467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customFormat="false" ht="6" hidden="false" customHeight="true" outlineLevel="0" collapsed="false"/>
    <row r="5" customFormat="false" ht="19.5" hidden="false" customHeight="true" outlineLevel="0" collapsed="false">
      <c r="A5" s="50" t="s">
        <v>113</v>
      </c>
      <c r="B5" s="50" t="s">
        <v>114</v>
      </c>
      <c r="C5" s="50" t="s">
        <v>115</v>
      </c>
      <c r="D5" s="50" t="s">
        <v>116</v>
      </c>
      <c r="E5" s="50" t="s">
        <v>117</v>
      </c>
      <c r="F5" s="50" t="s">
        <v>118</v>
      </c>
      <c r="G5" s="50" t="s">
        <v>119</v>
      </c>
      <c r="H5" s="50" t="s">
        <v>120</v>
      </c>
      <c r="I5" s="50" t="s">
        <v>121</v>
      </c>
      <c r="J5" s="50" t="s">
        <v>122</v>
      </c>
      <c r="K5" s="50" t="s">
        <v>123</v>
      </c>
      <c r="L5" s="50" t="s">
        <v>124</v>
      </c>
    </row>
    <row r="6" customFormat="false" ht="18" hidden="false" customHeight="true" outlineLevel="0" collapsed="false">
      <c r="A6" s="21" t="s">
        <v>468</v>
      </c>
      <c r="B6" s="22" t="s">
        <v>469</v>
      </c>
      <c r="C6" s="23"/>
      <c r="D6" s="24"/>
      <c r="E6" s="25"/>
      <c r="F6" s="25"/>
      <c r="G6" s="25"/>
      <c r="H6" s="25"/>
      <c r="I6" s="25"/>
      <c r="J6" s="24"/>
      <c r="K6" s="25"/>
      <c r="L6" s="26" t="s">
        <v>127</v>
      </c>
    </row>
    <row r="7" customFormat="false" ht="18" hidden="false" customHeight="true" outlineLevel="0" collapsed="false">
      <c r="A7" s="51" t="s">
        <v>470</v>
      </c>
      <c r="B7" s="52" t="s">
        <v>469</v>
      </c>
      <c r="C7" s="53"/>
      <c r="D7" s="54"/>
      <c r="E7" s="55"/>
      <c r="F7" s="55"/>
      <c r="G7" s="55"/>
      <c r="H7" s="55"/>
      <c r="I7" s="55"/>
      <c r="J7" s="54"/>
      <c r="K7" s="55"/>
      <c r="L7" s="56" t="s">
        <v>127</v>
      </c>
    </row>
    <row r="8" customFormat="false" ht="18" hidden="false" customHeight="true" outlineLevel="0" collapsed="false">
      <c r="A8" s="21" t="s">
        <v>471</v>
      </c>
      <c r="B8" s="22" t="s">
        <v>469</v>
      </c>
      <c r="C8" s="23"/>
      <c r="D8" s="24"/>
      <c r="E8" s="25"/>
      <c r="F8" s="25"/>
      <c r="G8" s="25"/>
      <c r="H8" s="25"/>
      <c r="I8" s="25"/>
      <c r="J8" s="24"/>
      <c r="K8" s="25"/>
      <c r="L8" s="26" t="s">
        <v>127</v>
      </c>
    </row>
    <row r="9" customFormat="false" ht="18" hidden="false" customHeight="true" outlineLevel="0" collapsed="false">
      <c r="A9" s="51" t="s">
        <v>472</v>
      </c>
      <c r="B9" s="52" t="s">
        <v>469</v>
      </c>
      <c r="C9" s="53"/>
      <c r="D9" s="54"/>
      <c r="E9" s="55"/>
      <c r="F9" s="55"/>
      <c r="G9" s="55"/>
      <c r="H9" s="55"/>
      <c r="I9" s="55"/>
      <c r="J9" s="54"/>
      <c r="K9" s="55"/>
      <c r="L9" s="56" t="s">
        <v>127</v>
      </c>
    </row>
    <row r="10" customFormat="false" ht="18" hidden="false" customHeight="true" outlineLevel="0" collapsed="false">
      <c r="A10" s="21" t="s">
        <v>473</v>
      </c>
      <c r="B10" s="22" t="s">
        <v>469</v>
      </c>
      <c r="C10" s="23"/>
      <c r="D10" s="24"/>
      <c r="E10" s="25"/>
      <c r="F10" s="25"/>
      <c r="G10" s="25"/>
      <c r="H10" s="25"/>
      <c r="I10" s="25"/>
      <c r="J10" s="24"/>
      <c r="K10" s="25"/>
      <c r="L10" s="26" t="s">
        <v>127</v>
      </c>
    </row>
    <row r="11" customFormat="false" ht="18" hidden="false" customHeight="true" outlineLevel="0" collapsed="false">
      <c r="A11" s="51" t="s">
        <v>474</v>
      </c>
      <c r="B11" s="52" t="s">
        <v>469</v>
      </c>
      <c r="C11" s="53"/>
      <c r="D11" s="54"/>
      <c r="E11" s="55"/>
      <c r="F11" s="55"/>
      <c r="G11" s="55"/>
      <c r="H11" s="55"/>
      <c r="I11" s="55"/>
      <c r="J11" s="54"/>
      <c r="K11" s="55"/>
      <c r="L11" s="56" t="s">
        <v>127</v>
      </c>
    </row>
    <row r="12" customFormat="false" ht="18" hidden="false" customHeight="true" outlineLevel="0" collapsed="false">
      <c r="A12" s="21" t="s">
        <v>475</v>
      </c>
      <c r="B12" s="22" t="s">
        <v>469</v>
      </c>
      <c r="C12" s="23"/>
      <c r="D12" s="24"/>
      <c r="E12" s="25"/>
      <c r="F12" s="25"/>
      <c r="G12" s="25"/>
      <c r="H12" s="25"/>
      <c r="I12" s="25"/>
      <c r="J12" s="24"/>
      <c r="K12" s="25"/>
      <c r="L12" s="26" t="s">
        <v>127</v>
      </c>
    </row>
    <row r="13" customFormat="false" ht="18" hidden="false" customHeight="true" outlineLevel="0" collapsed="false">
      <c r="A13" s="51" t="s">
        <v>476</v>
      </c>
      <c r="B13" s="52" t="s">
        <v>469</v>
      </c>
      <c r="C13" s="53"/>
      <c r="D13" s="54"/>
      <c r="E13" s="55"/>
      <c r="F13" s="55"/>
      <c r="G13" s="55"/>
      <c r="H13" s="55"/>
      <c r="I13" s="55"/>
      <c r="J13" s="54"/>
      <c r="K13" s="55"/>
      <c r="L13" s="56" t="s">
        <v>127</v>
      </c>
    </row>
    <row r="14" customFormat="false" ht="18" hidden="false" customHeight="true" outlineLevel="0" collapsed="false">
      <c r="A14" s="21" t="s">
        <v>477</v>
      </c>
      <c r="B14" s="22" t="s">
        <v>469</v>
      </c>
      <c r="C14" s="23"/>
      <c r="D14" s="24"/>
      <c r="E14" s="25"/>
      <c r="F14" s="25"/>
      <c r="G14" s="25"/>
      <c r="H14" s="25"/>
      <c r="I14" s="25"/>
      <c r="J14" s="24"/>
      <c r="K14" s="25"/>
      <c r="L14" s="26" t="s">
        <v>127</v>
      </c>
    </row>
    <row r="15" customFormat="false" ht="18" hidden="false" customHeight="true" outlineLevel="0" collapsed="false">
      <c r="A15" s="51" t="s">
        <v>478</v>
      </c>
      <c r="B15" s="52" t="s">
        <v>469</v>
      </c>
      <c r="C15" s="53"/>
      <c r="D15" s="54"/>
      <c r="E15" s="55"/>
      <c r="F15" s="55"/>
      <c r="G15" s="55"/>
      <c r="H15" s="55"/>
      <c r="I15" s="55"/>
      <c r="J15" s="54"/>
      <c r="K15" s="55"/>
      <c r="L15" s="56" t="s">
        <v>127</v>
      </c>
    </row>
    <row r="16" customFormat="false" ht="18" hidden="false" customHeight="true" outlineLevel="0" collapsed="false">
      <c r="A16" s="21" t="s">
        <v>479</v>
      </c>
      <c r="B16" s="22" t="s">
        <v>469</v>
      </c>
      <c r="C16" s="23"/>
      <c r="D16" s="24"/>
      <c r="E16" s="25"/>
      <c r="F16" s="25"/>
      <c r="G16" s="25"/>
      <c r="H16" s="25"/>
      <c r="I16" s="25"/>
      <c r="J16" s="24"/>
      <c r="K16" s="25"/>
      <c r="L16" s="26" t="s">
        <v>127</v>
      </c>
    </row>
    <row r="17" customFormat="false" ht="18" hidden="false" customHeight="true" outlineLevel="0" collapsed="false">
      <c r="A17" s="51" t="s">
        <v>480</v>
      </c>
      <c r="B17" s="52" t="s">
        <v>469</v>
      </c>
      <c r="C17" s="53"/>
      <c r="D17" s="54"/>
      <c r="E17" s="55"/>
      <c r="F17" s="55"/>
      <c r="G17" s="55"/>
      <c r="H17" s="55"/>
      <c r="I17" s="55"/>
      <c r="J17" s="54"/>
      <c r="K17" s="55"/>
      <c r="L17" s="56" t="s">
        <v>127</v>
      </c>
    </row>
    <row r="18" customFormat="false" ht="18" hidden="false" customHeight="true" outlineLevel="0" collapsed="false">
      <c r="A18" s="21" t="s">
        <v>481</v>
      </c>
      <c r="B18" s="22" t="s">
        <v>469</v>
      </c>
      <c r="C18" s="23"/>
      <c r="D18" s="24"/>
      <c r="E18" s="25"/>
      <c r="F18" s="25"/>
      <c r="G18" s="25"/>
      <c r="H18" s="25"/>
      <c r="I18" s="25"/>
      <c r="J18" s="24"/>
      <c r="K18" s="25"/>
      <c r="L18" s="26" t="s">
        <v>127</v>
      </c>
    </row>
    <row r="19" customFormat="false" ht="18" hidden="false" customHeight="true" outlineLevel="0" collapsed="false">
      <c r="A19" s="51" t="s">
        <v>482</v>
      </c>
      <c r="B19" s="52" t="s">
        <v>469</v>
      </c>
      <c r="C19" s="53"/>
      <c r="D19" s="54"/>
      <c r="E19" s="55"/>
      <c r="F19" s="55"/>
      <c r="G19" s="55"/>
      <c r="H19" s="55"/>
      <c r="I19" s="55"/>
      <c r="J19" s="54"/>
      <c r="K19" s="55"/>
      <c r="L19" s="56" t="s">
        <v>127</v>
      </c>
    </row>
    <row r="20" customFormat="false" ht="18" hidden="false" customHeight="true" outlineLevel="0" collapsed="false">
      <c r="A20" s="21" t="s">
        <v>483</v>
      </c>
      <c r="B20" s="22" t="s">
        <v>469</v>
      </c>
      <c r="C20" s="23"/>
      <c r="D20" s="24"/>
      <c r="E20" s="25"/>
      <c r="F20" s="25"/>
      <c r="G20" s="25"/>
      <c r="H20" s="25"/>
      <c r="I20" s="25"/>
      <c r="J20" s="24"/>
      <c r="K20" s="25"/>
      <c r="L20" s="26" t="s">
        <v>127</v>
      </c>
    </row>
    <row r="21" customFormat="false" ht="15.75" hidden="false" customHeight="true" outlineLevel="0" collapsed="false">
      <c r="A21" s="57" t="s">
        <v>216</v>
      </c>
      <c r="B21" s="57"/>
      <c r="C21" s="57"/>
      <c r="D21" s="57"/>
      <c r="I21" s="58" t="n">
        <f aca="false">COUNTIF(I6:I20,"PASS")</f>
        <v>0</v>
      </c>
      <c r="J21" s="58" t="n">
        <f aca="false">COUNTIF(J6:J20,"WARNING")</f>
        <v>0</v>
      </c>
      <c r="K21" s="58" t="n">
        <f aca="false">COUNTIF(K6:K20,"FAIL")</f>
        <v>0</v>
      </c>
      <c r="L21" s="58" t="n">
        <f aca="false">COUNTIF(L6:L20,"DRAFT")</f>
        <v>15</v>
      </c>
    </row>
  </sheetData>
  <mergeCells count="4">
    <mergeCell ref="A1:L1"/>
    <mergeCell ref="A2:L2"/>
    <mergeCell ref="A3:L3"/>
    <mergeCell ref="A21:D21"/>
  </mergeCells>
  <dataValidations count="1">
    <dataValidation allowBlank="true" errorStyle="stop" operator="between" showDropDown="false" showErrorMessage="false" showInputMessage="false" sqref="L6:L20" type="list">
      <formula1>"DRAFT,PASS,WARNING,FAIL"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2026-05-13T21:22:05Z</dcterms:created>
  <dc:creator>openpyxl</dc:creator>
  <dc:description/>
  <dc:language>en-US</dc:language>
  <cp:lastModifiedBy/>
  <dcterms:modified xsi:type="dcterms:W3CDTF">2026-05-13T21:30:44Z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